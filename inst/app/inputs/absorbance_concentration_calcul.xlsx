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others\projects\Rshiny_app_abs_conc\"/>
    </mc:Choice>
  </mc:AlternateContent>
  <xr:revisionPtr revIDLastSave="0" documentId="13_ncr:1_{C50FF3EA-485C-47EA-87BC-8BA18F73EBE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oncentration algale 2026" sheetId="3" r:id="rId1"/>
    <sheet name="Absorbance" sheetId="9" r:id="rId2"/>
  </sheets>
  <definedNames>
    <definedName name="_xlnm._FilterDatabase" localSheetId="1" hidden="1">Absorbance!$A$1:$P$31</definedName>
    <definedName name="_xlnm._FilterDatabase" localSheetId="0" hidden="1">'Concentration algale 2026'!$A$1:$L$37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9" l="1"/>
  <c r="D38" i="9"/>
  <c r="D37" i="9"/>
  <c r="D36" i="9"/>
  <c r="D35" i="9"/>
  <c r="D34" i="9"/>
  <c r="D33" i="9"/>
  <c r="D40" i="9"/>
  <c r="E40" i="9"/>
  <c r="I40" i="9"/>
  <c r="J40" i="9"/>
  <c r="K40" i="9"/>
  <c r="L40" i="9" s="1"/>
  <c r="M40" i="9"/>
  <c r="N40" i="9"/>
  <c r="O40" i="9"/>
  <c r="P40" i="9"/>
  <c r="D41" i="9"/>
  <c r="E41" i="9"/>
  <c r="O41" i="9" s="1"/>
  <c r="I41" i="9"/>
  <c r="J41" i="9"/>
  <c r="K41" i="9" s="1"/>
  <c r="L41" i="9" s="1"/>
  <c r="M41" i="9"/>
  <c r="N41" i="9"/>
  <c r="D42" i="9"/>
  <c r="E42" i="9"/>
  <c r="O42" i="9" s="1"/>
  <c r="I42" i="9"/>
  <c r="J42" i="9"/>
  <c r="K42" i="9" s="1"/>
  <c r="L42" i="9" s="1"/>
  <c r="M42" i="9"/>
  <c r="N42" i="9"/>
  <c r="D43" i="9"/>
  <c r="E43" i="9"/>
  <c r="O43" i="9" s="1"/>
  <c r="I43" i="9"/>
  <c r="J43" i="9"/>
  <c r="K43" i="9" s="1"/>
  <c r="L43" i="9" s="1"/>
  <c r="M43" i="9"/>
  <c r="N43" i="9"/>
  <c r="D44" i="9"/>
  <c r="E44" i="9"/>
  <c r="I44" i="9"/>
  <c r="J44" i="9"/>
  <c r="K44" i="9" s="1"/>
  <c r="L44" i="9" s="1"/>
  <c r="M44" i="9"/>
  <c r="O44" i="9" s="1"/>
  <c r="N44" i="9"/>
  <c r="P44" i="9" s="1"/>
  <c r="D45" i="9"/>
  <c r="E45" i="9"/>
  <c r="I45" i="9"/>
  <c r="J45" i="9"/>
  <c r="K45" i="9" s="1"/>
  <c r="L45" i="9" s="1"/>
  <c r="M45" i="9"/>
  <c r="N45" i="9"/>
  <c r="O45" i="9"/>
  <c r="P45" i="9"/>
  <c r="D46" i="9"/>
  <c r="E46" i="9"/>
  <c r="I46" i="9"/>
  <c r="J46" i="9"/>
  <c r="K46" i="9"/>
  <c r="L46" i="9"/>
  <c r="M46" i="9"/>
  <c r="N46" i="9"/>
  <c r="O46" i="9"/>
  <c r="P46" i="9"/>
  <c r="E39" i="9"/>
  <c r="E33" i="9"/>
  <c r="I33" i="9"/>
  <c r="J33" i="9"/>
  <c r="K33" i="9"/>
  <c r="L33" i="9"/>
  <c r="M33" i="9"/>
  <c r="N33" i="9"/>
  <c r="E34" i="9"/>
  <c r="P34" i="9" s="1"/>
  <c r="I34" i="9"/>
  <c r="J34" i="9"/>
  <c r="K34" i="9" s="1"/>
  <c r="L34" i="9" s="1"/>
  <c r="M34" i="9"/>
  <c r="N34" i="9"/>
  <c r="E35" i="9"/>
  <c r="I35" i="9"/>
  <c r="J35" i="9"/>
  <c r="K35" i="9" s="1"/>
  <c r="L35" i="9" s="1"/>
  <c r="M35" i="9"/>
  <c r="N35" i="9"/>
  <c r="E36" i="9"/>
  <c r="O36" i="9" s="1"/>
  <c r="I36" i="9"/>
  <c r="J36" i="9"/>
  <c r="K36" i="9" s="1"/>
  <c r="L36" i="9" s="1"/>
  <c r="M36" i="9"/>
  <c r="N36" i="9"/>
  <c r="E37" i="9"/>
  <c r="I37" i="9"/>
  <c r="J37" i="9"/>
  <c r="K37" i="9" s="1"/>
  <c r="L37" i="9" s="1"/>
  <c r="M37" i="9"/>
  <c r="N37" i="9"/>
  <c r="E38" i="9"/>
  <c r="O38" i="9" s="1"/>
  <c r="I38" i="9"/>
  <c r="J38" i="9"/>
  <c r="K38" i="9" s="1"/>
  <c r="L38" i="9" s="1"/>
  <c r="M38" i="9"/>
  <c r="N38" i="9"/>
  <c r="I39" i="9"/>
  <c r="J39" i="9"/>
  <c r="K39" i="9" s="1"/>
  <c r="L39" i="9" s="1"/>
  <c r="M39" i="9"/>
  <c r="N39" i="9"/>
  <c r="P39" i="9" s="1"/>
  <c r="N32" i="9"/>
  <c r="M32" i="9"/>
  <c r="J32" i="9"/>
  <c r="K32" i="9" s="1"/>
  <c r="L32" i="9" s="1"/>
  <c r="I32" i="9"/>
  <c r="D32" i="9"/>
  <c r="E32" i="9" s="1"/>
  <c r="N23" i="9"/>
  <c r="N24" i="9"/>
  <c r="R3" i="3"/>
  <c r="Q3" i="3"/>
  <c r="I37" i="3"/>
  <c r="G37" i="3"/>
  <c r="K37" i="3" s="1"/>
  <c r="L37" i="3" s="1"/>
  <c r="I36" i="3"/>
  <c r="G36" i="3"/>
  <c r="K36" i="3" s="1"/>
  <c r="L36" i="3" s="1"/>
  <c r="I35" i="3"/>
  <c r="G35" i="3"/>
  <c r="K35" i="3" s="1"/>
  <c r="L35" i="3" s="1"/>
  <c r="I34" i="3"/>
  <c r="G34" i="3"/>
  <c r="K34" i="3" s="1"/>
  <c r="L34" i="3" s="1"/>
  <c r="I33" i="3"/>
  <c r="G33" i="3"/>
  <c r="K33" i="3" s="1"/>
  <c r="L33" i="3" s="1"/>
  <c r="I32" i="3"/>
  <c r="G32" i="3"/>
  <c r="K32" i="3" s="1"/>
  <c r="L32" i="3" s="1"/>
  <c r="P3" i="3"/>
  <c r="P2" i="3"/>
  <c r="I31" i="3"/>
  <c r="I30" i="3"/>
  <c r="I29" i="3"/>
  <c r="I28" i="3"/>
  <c r="I27" i="3"/>
  <c r="I26" i="3"/>
  <c r="G31" i="3"/>
  <c r="G30" i="3"/>
  <c r="G29" i="3"/>
  <c r="G28" i="3"/>
  <c r="G27" i="3"/>
  <c r="G26" i="3"/>
  <c r="I12" i="9"/>
  <c r="J12" i="9"/>
  <c r="K12" i="9" s="1"/>
  <c r="L12" i="9" s="1"/>
  <c r="F11" i="9"/>
  <c r="I11" i="9" s="1"/>
  <c r="D12" i="9"/>
  <c r="E12" i="9" s="1"/>
  <c r="D11" i="9"/>
  <c r="E11" i="9" s="1"/>
  <c r="I27" i="9"/>
  <c r="J27" i="9"/>
  <c r="K27" i="9"/>
  <c r="L27" i="9"/>
  <c r="F26" i="9"/>
  <c r="I26" i="9" s="1"/>
  <c r="D27" i="9"/>
  <c r="E27" i="9" s="1"/>
  <c r="D26" i="9"/>
  <c r="E26" i="9" s="1"/>
  <c r="J7" i="9"/>
  <c r="K7" i="9" s="1"/>
  <c r="L7" i="9" s="1"/>
  <c r="I7" i="9"/>
  <c r="J5" i="9"/>
  <c r="K5" i="9" s="1"/>
  <c r="L5" i="9" s="1"/>
  <c r="I5" i="9"/>
  <c r="J3" i="9"/>
  <c r="K3" i="9" s="1"/>
  <c r="L3" i="9" s="1"/>
  <c r="I3" i="9"/>
  <c r="I4" i="9"/>
  <c r="J4" i="9"/>
  <c r="K4" i="9" s="1"/>
  <c r="L4" i="9" s="1"/>
  <c r="I6" i="9"/>
  <c r="J6" i="9"/>
  <c r="K6" i="9" s="1"/>
  <c r="L6" i="9" s="1"/>
  <c r="D7" i="9"/>
  <c r="E7" i="9" s="1"/>
  <c r="D5" i="9"/>
  <c r="E5" i="9" s="1"/>
  <c r="D3" i="9"/>
  <c r="E3" i="9" s="1"/>
  <c r="I22" i="9"/>
  <c r="J22" i="9"/>
  <c r="K22" i="9" s="1"/>
  <c r="L22" i="9" s="1"/>
  <c r="D22" i="9"/>
  <c r="E22" i="9" s="1"/>
  <c r="I20" i="9"/>
  <c r="J20" i="9"/>
  <c r="K20" i="9" s="1"/>
  <c r="L20" i="9" s="1"/>
  <c r="D20" i="9"/>
  <c r="E20" i="9" s="1"/>
  <c r="I18" i="9"/>
  <c r="J18" i="9"/>
  <c r="K18" i="9" s="1"/>
  <c r="L18" i="9" s="1"/>
  <c r="D18" i="9"/>
  <c r="E18" i="9" s="1"/>
  <c r="D17" i="9"/>
  <c r="E17" i="9" s="1"/>
  <c r="I17" i="9"/>
  <c r="J17" i="9"/>
  <c r="K17" i="9" s="1"/>
  <c r="L17" i="9" s="1"/>
  <c r="D19" i="9"/>
  <c r="E19" i="9" s="1"/>
  <c r="I19" i="9"/>
  <c r="J19" i="9"/>
  <c r="K19" i="9" s="1"/>
  <c r="L19" i="9" s="1"/>
  <c r="D21" i="9"/>
  <c r="E21" i="9" s="1"/>
  <c r="I21" i="9"/>
  <c r="J21" i="9"/>
  <c r="K21" i="9" s="1"/>
  <c r="L21" i="9" s="1"/>
  <c r="D23" i="9"/>
  <c r="E23" i="9" s="1"/>
  <c r="I23" i="9"/>
  <c r="J23" i="9"/>
  <c r="K23" i="9"/>
  <c r="L23" i="9"/>
  <c r="D24" i="9"/>
  <c r="E24" i="9" s="1"/>
  <c r="I24" i="9"/>
  <c r="J24" i="9"/>
  <c r="K24" i="9" s="1"/>
  <c r="L24" i="9" s="1"/>
  <c r="D25" i="9"/>
  <c r="E25" i="9" s="1"/>
  <c r="I25" i="9"/>
  <c r="J25" i="9"/>
  <c r="K25" i="9" s="1"/>
  <c r="L25" i="9" s="1"/>
  <c r="D28" i="9"/>
  <c r="E28" i="9"/>
  <c r="I28" i="9"/>
  <c r="J28" i="9"/>
  <c r="K28" i="9" s="1"/>
  <c r="L28" i="9" s="1"/>
  <c r="D29" i="9"/>
  <c r="E29" i="9" s="1"/>
  <c r="I29" i="9"/>
  <c r="J29" i="9"/>
  <c r="K29" i="9" s="1"/>
  <c r="L29" i="9" s="1"/>
  <c r="D30" i="9"/>
  <c r="E30" i="9" s="1"/>
  <c r="I30" i="9"/>
  <c r="J30" i="9"/>
  <c r="K30" i="9" s="1"/>
  <c r="L30" i="9" s="1"/>
  <c r="D31" i="9"/>
  <c r="E31" i="9" s="1"/>
  <c r="I31" i="9"/>
  <c r="J31" i="9"/>
  <c r="K31" i="9" s="1"/>
  <c r="L31" i="9" s="1"/>
  <c r="P5" i="3"/>
  <c r="P6" i="3"/>
  <c r="P7" i="3"/>
  <c r="P4" i="3"/>
  <c r="J8" i="9"/>
  <c r="J9" i="9"/>
  <c r="J10" i="9"/>
  <c r="J13" i="9"/>
  <c r="J14" i="9"/>
  <c r="K14" i="9" s="1"/>
  <c r="L14" i="9" s="1"/>
  <c r="J15" i="9"/>
  <c r="K15" i="9" s="1"/>
  <c r="L15" i="9" s="1"/>
  <c r="J16" i="9"/>
  <c r="J2" i="9"/>
  <c r="I2" i="9"/>
  <c r="I14" i="3"/>
  <c r="K14" i="3" s="1"/>
  <c r="L14" i="3" s="1"/>
  <c r="I15" i="3"/>
  <c r="I16" i="3"/>
  <c r="I17" i="3"/>
  <c r="I18" i="3"/>
  <c r="I19" i="3"/>
  <c r="I20" i="3"/>
  <c r="I21" i="3"/>
  <c r="I22" i="3"/>
  <c r="I23" i="3"/>
  <c r="I24" i="3"/>
  <c r="I25" i="3"/>
  <c r="G25" i="3"/>
  <c r="K25" i="3" s="1"/>
  <c r="L25" i="3" s="1"/>
  <c r="G24" i="3"/>
  <c r="K24" i="3" s="1"/>
  <c r="L24" i="3" s="1"/>
  <c r="G23" i="3"/>
  <c r="K23" i="3" s="1"/>
  <c r="L23" i="3" s="1"/>
  <c r="G22" i="3"/>
  <c r="K22" i="3" s="1"/>
  <c r="L22" i="3" s="1"/>
  <c r="G21" i="3"/>
  <c r="G20" i="3"/>
  <c r="G19" i="3"/>
  <c r="K19" i="3" s="1"/>
  <c r="L19" i="3" s="1"/>
  <c r="G18" i="3"/>
  <c r="G17" i="3"/>
  <c r="G16" i="3"/>
  <c r="G15" i="3"/>
  <c r="G14" i="3"/>
  <c r="I8" i="9"/>
  <c r="I9" i="9"/>
  <c r="I10" i="9"/>
  <c r="I13" i="9"/>
  <c r="I14" i="9"/>
  <c r="I15" i="9"/>
  <c r="I16" i="9"/>
  <c r="D16" i="9"/>
  <c r="E16" i="9" s="1"/>
  <c r="D15" i="9"/>
  <c r="E15" i="9" s="1"/>
  <c r="D14" i="9"/>
  <c r="E14" i="9" s="1"/>
  <c r="D13" i="9"/>
  <c r="E13" i="9" s="1"/>
  <c r="D10" i="9"/>
  <c r="E10" i="9" s="1"/>
  <c r="D9" i="9"/>
  <c r="E9" i="9" s="1"/>
  <c r="D8" i="9"/>
  <c r="E8" i="9" s="1"/>
  <c r="D6" i="9"/>
  <c r="E6" i="9" s="1"/>
  <c r="D2" i="9"/>
  <c r="E2" i="9" s="1"/>
  <c r="D4" i="9"/>
  <c r="E4" i="9" s="1"/>
  <c r="I8" i="3"/>
  <c r="I9" i="3"/>
  <c r="I10" i="3"/>
  <c r="I11" i="3"/>
  <c r="I12" i="3"/>
  <c r="I13" i="3"/>
  <c r="G13" i="3"/>
  <c r="K13" i="3" s="1"/>
  <c r="L13" i="3" s="1"/>
  <c r="G12" i="3"/>
  <c r="G11" i="3"/>
  <c r="G10" i="3"/>
  <c r="G9" i="3"/>
  <c r="G8" i="3"/>
  <c r="G4" i="3"/>
  <c r="I4" i="3"/>
  <c r="G5" i="3"/>
  <c r="K5" i="3" s="1"/>
  <c r="L5" i="3" s="1"/>
  <c r="I5" i="3"/>
  <c r="G6" i="3"/>
  <c r="I6" i="3"/>
  <c r="G7" i="3"/>
  <c r="K7" i="3" s="1"/>
  <c r="L7" i="3" s="1"/>
  <c r="I7" i="3"/>
  <c r="I3" i="3"/>
  <c r="G3" i="3"/>
  <c r="K3" i="3" s="1"/>
  <c r="L3" i="3" s="1"/>
  <c r="I2" i="3"/>
  <c r="G2" i="3"/>
  <c r="O33" i="9" l="1"/>
  <c r="P33" i="9"/>
  <c r="P41" i="9"/>
  <c r="P42" i="9"/>
  <c r="P38" i="9"/>
  <c r="O35" i="9"/>
  <c r="P43" i="9"/>
  <c r="O39" i="9"/>
  <c r="P37" i="9"/>
  <c r="O37" i="9"/>
  <c r="O34" i="9"/>
  <c r="P36" i="9"/>
  <c r="P35" i="9"/>
  <c r="O32" i="9"/>
  <c r="P32" i="9"/>
  <c r="J11" i="9"/>
  <c r="K11" i="9" s="1"/>
  <c r="L11" i="9" s="1"/>
  <c r="K31" i="3"/>
  <c r="L31" i="3" s="1"/>
  <c r="K30" i="3"/>
  <c r="L30" i="3" s="1"/>
  <c r="K9" i="3"/>
  <c r="L9" i="3" s="1"/>
  <c r="K6" i="3"/>
  <c r="L6" i="3" s="1"/>
  <c r="K15" i="3"/>
  <c r="L15" i="3" s="1"/>
  <c r="K26" i="3"/>
  <c r="L26" i="3" s="1"/>
  <c r="K16" i="3"/>
  <c r="L16" i="3" s="1"/>
  <c r="K27" i="3"/>
  <c r="L27" i="3" s="1"/>
  <c r="K17" i="3"/>
  <c r="L17" i="3" s="1"/>
  <c r="K28" i="3"/>
  <c r="L28" i="3" s="1"/>
  <c r="K29" i="3"/>
  <c r="L29" i="3" s="1"/>
  <c r="J26" i="9"/>
  <c r="K26" i="9" s="1"/>
  <c r="L26" i="9" s="1"/>
  <c r="K8" i="3"/>
  <c r="L8" i="3" s="1"/>
  <c r="K10" i="3"/>
  <c r="L10" i="3" s="1"/>
  <c r="K11" i="3"/>
  <c r="L11" i="3" s="1"/>
  <c r="K21" i="3"/>
  <c r="L21" i="3" s="1"/>
  <c r="K18" i="3"/>
  <c r="L18" i="3" s="1"/>
  <c r="K2" i="3"/>
  <c r="L2" i="3" s="1"/>
  <c r="K8" i="9"/>
  <c r="L8" i="9" s="1"/>
  <c r="K13" i="9"/>
  <c r="L13" i="9" s="1"/>
  <c r="K10" i="9"/>
  <c r="L10" i="9" s="1"/>
  <c r="K16" i="9"/>
  <c r="L16" i="9" s="1"/>
  <c r="K20" i="3"/>
  <c r="L20" i="3" s="1"/>
  <c r="K4" i="3"/>
  <c r="L4" i="3" s="1"/>
  <c r="K12" i="3"/>
  <c r="L12" i="3" s="1"/>
  <c r="K2" i="9"/>
  <c r="L2" i="9" s="1"/>
  <c r="K9" i="9"/>
  <c r="L9" i="9" s="1"/>
  <c r="Q6" i="3" l="1"/>
  <c r="R4" i="3"/>
  <c r="S4" i="3" s="1"/>
  <c r="Q4" i="3"/>
  <c r="R2" i="3"/>
  <c r="S2" i="3" s="1"/>
  <c r="Q2" i="3"/>
  <c r="S3" i="3"/>
  <c r="R6" i="3"/>
  <c r="S6" i="3" s="1"/>
  <c r="U6" i="3" s="1"/>
  <c r="M20" i="9"/>
  <c r="O20" i="9" s="1"/>
  <c r="M18" i="9"/>
  <c r="O18" i="9" s="1"/>
  <c r="M22" i="9"/>
  <c r="O22" i="9" s="1"/>
  <c r="T6" i="3"/>
  <c r="M19" i="9"/>
  <c r="O19" i="9" s="1"/>
  <c r="M23" i="9"/>
  <c r="O23" i="9" s="1"/>
  <c r="M17" i="9"/>
  <c r="O17" i="9" s="1"/>
  <c r="M21" i="9"/>
  <c r="O21" i="9" s="1"/>
  <c r="M24" i="9"/>
  <c r="O24" i="9" s="1"/>
  <c r="R5" i="3"/>
  <c r="S5" i="3" s="1"/>
  <c r="Q5" i="3"/>
  <c r="Q7" i="3"/>
  <c r="R7" i="3"/>
  <c r="S7" i="3" s="1"/>
  <c r="U3" i="3" l="1"/>
  <c r="V3" i="3" s="1"/>
  <c r="T3" i="3"/>
  <c r="T2" i="3"/>
  <c r="U2" i="3"/>
  <c r="V2" i="3" s="1"/>
  <c r="M7" i="9"/>
  <c r="O7" i="9" s="1"/>
  <c r="M5" i="9"/>
  <c r="O5" i="9" s="1"/>
  <c r="M3" i="9"/>
  <c r="O3" i="9" s="1"/>
  <c r="T4" i="3"/>
  <c r="N20" i="9"/>
  <c r="P20" i="9" s="1"/>
  <c r="N18" i="9"/>
  <c r="P18" i="9" s="1"/>
  <c r="N22" i="9"/>
  <c r="P22" i="9" s="1"/>
  <c r="M27" i="9"/>
  <c r="O27" i="9" s="1"/>
  <c r="M28" i="9"/>
  <c r="O28" i="9" s="1"/>
  <c r="M26" i="9"/>
  <c r="O26" i="9" s="1"/>
  <c r="V6" i="3"/>
  <c r="M11" i="9"/>
  <c r="O11" i="9" s="1"/>
  <c r="M12" i="9"/>
  <c r="O12" i="9" s="1"/>
  <c r="U7" i="3"/>
  <c r="V7" i="3" s="1"/>
  <c r="T7" i="3"/>
  <c r="M25" i="9"/>
  <c r="O25" i="9" s="1"/>
  <c r="M29" i="9"/>
  <c r="O29" i="9" s="1"/>
  <c r="M31" i="9"/>
  <c r="O31" i="9" s="1"/>
  <c r="M30" i="9"/>
  <c r="O30" i="9" s="1"/>
  <c r="P24" i="9"/>
  <c r="N19" i="9"/>
  <c r="P19" i="9" s="1"/>
  <c r="P23" i="9"/>
  <c r="N17" i="9"/>
  <c r="P17" i="9" s="1"/>
  <c r="N21" i="9"/>
  <c r="P21" i="9" s="1"/>
  <c r="U4" i="3"/>
  <c r="N2" i="9" s="1"/>
  <c r="P2" i="9" s="1"/>
  <c r="N6" i="9"/>
  <c r="P6" i="9" s="1"/>
  <c r="U5" i="3"/>
  <c r="T5" i="3"/>
  <c r="M13" i="9"/>
  <c r="O13" i="9" s="1"/>
  <c r="M14" i="9"/>
  <c r="O14" i="9" s="1"/>
  <c r="M15" i="9"/>
  <c r="O15" i="9" s="1"/>
  <c r="M16" i="9"/>
  <c r="O16" i="9" s="1"/>
  <c r="M10" i="9"/>
  <c r="O10" i="9" s="1"/>
  <c r="M6" i="9"/>
  <c r="O6" i="9" s="1"/>
  <c r="M8" i="9"/>
  <c r="O8" i="9" s="1"/>
  <c r="M9" i="9"/>
  <c r="O9" i="9" s="1"/>
  <c r="M2" i="9"/>
  <c r="O2" i="9" s="1"/>
  <c r="M4" i="9"/>
  <c r="O4" i="9" s="1"/>
  <c r="V5" i="3"/>
  <c r="N13" i="9"/>
  <c r="P13" i="9" s="1"/>
  <c r="N14" i="9"/>
  <c r="P14" i="9" s="1"/>
  <c r="N15" i="9"/>
  <c r="P15" i="9" s="1"/>
  <c r="N10" i="9" l="1"/>
  <c r="P10" i="9" s="1"/>
  <c r="N11" i="9"/>
  <c r="P11" i="9" s="1"/>
  <c r="N12" i="9"/>
  <c r="P12" i="9" s="1"/>
  <c r="N26" i="9"/>
  <c r="P26" i="9" s="1"/>
  <c r="N27" i="9"/>
  <c r="P27" i="9" s="1"/>
  <c r="N28" i="9"/>
  <c r="P28" i="9" s="1"/>
  <c r="N4" i="9"/>
  <c r="P4" i="9" s="1"/>
  <c r="N7" i="9"/>
  <c r="P7" i="9" s="1"/>
  <c r="N5" i="9"/>
  <c r="P5" i="9" s="1"/>
  <c r="N3" i="9"/>
  <c r="P3" i="9" s="1"/>
  <c r="V4" i="3"/>
  <c r="N8" i="9"/>
  <c r="P8" i="9" s="1"/>
  <c r="N9" i="9"/>
  <c r="P9" i="9" s="1"/>
  <c r="N30" i="9"/>
  <c r="P30" i="9" s="1"/>
  <c r="N25" i="9"/>
  <c r="P25" i="9" s="1"/>
  <c r="N29" i="9"/>
  <c r="P29" i="9" s="1"/>
  <c r="N31" i="9"/>
  <c r="P31" i="9" s="1"/>
  <c r="N16" i="9"/>
  <c r="P16" i="9" s="1"/>
</calcChain>
</file>

<file path=xl/sharedStrings.xml><?xml version="1.0" encoding="utf-8"?>
<sst xmlns="http://schemas.openxmlformats.org/spreadsheetml/2006/main" count="171" uniqueCount="45">
  <si>
    <t>Facteur de dilution</t>
  </si>
  <si>
    <t>Ligne 1</t>
  </si>
  <si>
    <t>Ligne 2</t>
  </si>
  <si>
    <t>Ligne 3</t>
  </si>
  <si>
    <t>Ligne 4</t>
  </si>
  <si>
    <t>Ligne 5</t>
  </si>
  <si>
    <t>Moyenne algue compté</t>
  </si>
  <si>
    <t>Nombre de rectangle comptés</t>
  </si>
  <si>
    <t>Volume de comptage (L)</t>
  </si>
  <si>
    <t>Nombre d'algue/L</t>
  </si>
  <si>
    <t>Nombre d'algue/mL</t>
  </si>
  <si>
    <t>Chlorella sol 17/02/2026</t>
  </si>
  <si>
    <t>Pita sol 17/02/2026</t>
  </si>
  <si>
    <t>FD</t>
  </si>
  <si>
    <t>NA</t>
  </si>
  <si>
    <t>1/FD</t>
  </si>
  <si>
    <t>Chlorella sol 24/02/2026</t>
  </si>
  <si>
    <t>Pita sol 24/02/2026</t>
  </si>
  <si>
    <t>Date</t>
  </si>
  <si>
    <t>Espèce</t>
  </si>
  <si>
    <t>µ</t>
  </si>
  <si>
    <t>SD</t>
  </si>
  <si>
    <t>Variance</t>
  </si>
  <si>
    <t>SEM</t>
  </si>
  <si>
    <t>C. vulgaris</t>
  </si>
  <si>
    <t>R. subcapitata</t>
  </si>
  <si>
    <t>A1</t>
  </si>
  <si>
    <t>A2</t>
  </si>
  <si>
    <t>A3</t>
  </si>
  <si>
    <t>Aµ</t>
  </si>
  <si>
    <t>Cµ</t>
  </si>
  <si>
    <t>n lignes</t>
  </si>
  <si>
    <t>Cµ avec FD</t>
  </si>
  <si>
    <t>A var</t>
  </si>
  <si>
    <t>A SD</t>
  </si>
  <si>
    <t>A SEM</t>
  </si>
  <si>
    <t>C SEM</t>
  </si>
  <si>
    <t>C SEM avec FD</t>
  </si>
  <si>
    <t>SEM %</t>
  </si>
  <si>
    <t>SD %</t>
  </si>
  <si>
    <t>Ech</t>
  </si>
  <si>
    <t>Chlorella</t>
  </si>
  <si>
    <t>Pita</t>
  </si>
  <si>
    <t>Chlorella sol 10/02/2026</t>
  </si>
  <si>
    <t>Pita sol 10/02/2026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</si>
</sst>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E+00"/>
    <numFmt numFmtId="165" formatCode="0.0000"/>
    <numFmt numFmtId="166" formatCode="0.000"/>
  </numFmts>
  <fonts count="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Chlorella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899545128584992"/>
                  <c:y val="3.62672433400363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Absorbance!$L$2:$L$24</c:f>
                <c:numCache>
                  <c:formatCode>General</c:formatCode>
                  <c:ptCount val="16"/>
                  <c:pt idx="0">
                    <c:v>0</c:v>
                  </c:pt>
                  <c:pt idx="1">
                    <c:v>2.7216552697590891E-3</c:v>
                  </c:pt>
                  <c:pt idx="2">
                    <c:v>5.4433105395181784E-4</c:v>
                  </c:pt>
                  <c:pt idx="3">
                    <c:v>4.8150997066711857E-3</c:v>
                  </c:pt>
                  <c:pt idx="4">
                    <c:v>1.0886621079036357E-3</c:v>
                  </c:pt>
                  <c:pt idx="5">
                    <c:v>1.7847087115787806E-3</c:v>
                  </c:pt>
                  <c:pt idx="6">
                    <c:v>2.4494897427831805E-3</c:v>
                  </c:pt>
                  <c:pt idx="7">
                    <c:v>9.8130676292531357E-4</c:v>
                  </c:pt>
                  <c:pt idx="8">
                    <c:v>8.9979421515678937E-3</c:v>
                  </c:pt>
                  <c:pt idx="9">
                    <c:v>6.944222218666531E-3</c:v>
                  </c:pt>
                  <c:pt idx="10">
                    <c:v>4.1186117761890352E-3</c:v>
                  </c:pt>
                  <c:pt idx="11">
                    <c:v>1.5520595635763768E-2</c:v>
                  </c:pt>
                  <c:pt idx="12">
                    <c:v>1.1264496832477197E-2</c:v>
                  </c:pt>
                  <c:pt idx="13">
                    <c:v>2.4190601174530293E-3</c:v>
                  </c:pt>
                  <c:pt idx="14">
                    <c:v>1.3452247506010439E-2</c:v>
                  </c:pt>
                  <c:pt idx="15">
                    <c:v>4.9665548085837813E-3</c:v>
                  </c:pt>
                </c:numCache>
              </c:numRef>
            </c:plus>
            <c:minus>
              <c:numRef>
                <c:f>Absorbance!$L$2:$L$24</c:f>
                <c:numCache>
                  <c:formatCode>General</c:formatCode>
                  <c:ptCount val="16"/>
                  <c:pt idx="0">
                    <c:v>0</c:v>
                  </c:pt>
                  <c:pt idx="1">
                    <c:v>2.7216552697590891E-3</c:v>
                  </c:pt>
                  <c:pt idx="2">
                    <c:v>5.4433105395181784E-4</c:v>
                  </c:pt>
                  <c:pt idx="3">
                    <c:v>4.8150997066711857E-3</c:v>
                  </c:pt>
                  <c:pt idx="4">
                    <c:v>1.0886621079036357E-3</c:v>
                  </c:pt>
                  <c:pt idx="5">
                    <c:v>1.7847087115787806E-3</c:v>
                  </c:pt>
                  <c:pt idx="6">
                    <c:v>2.4494897427831805E-3</c:v>
                  </c:pt>
                  <c:pt idx="7">
                    <c:v>9.8130676292531357E-4</c:v>
                  </c:pt>
                  <c:pt idx="8">
                    <c:v>8.9979421515678937E-3</c:v>
                  </c:pt>
                  <c:pt idx="9">
                    <c:v>6.944222218666531E-3</c:v>
                  </c:pt>
                  <c:pt idx="10">
                    <c:v>4.1186117761890352E-3</c:v>
                  </c:pt>
                  <c:pt idx="11">
                    <c:v>1.5520595635763768E-2</c:v>
                  </c:pt>
                  <c:pt idx="12">
                    <c:v>1.1264496832477197E-2</c:v>
                  </c:pt>
                  <c:pt idx="13">
                    <c:v>2.4190601174530293E-3</c:v>
                  </c:pt>
                  <c:pt idx="14">
                    <c:v>1.3452247506010439E-2</c:v>
                  </c:pt>
                  <c:pt idx="15">
                    <c:v>4.9665548085837813E-3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Absorbance!$P$2:$P$24</c:f>
                <c:numCache>
                  <c:formatCode>General</c:formatCode>
                  <c:ptCount val="16"/>
                  <c:pt idx="0">
                    <c:v>337179.45708862349</c:v>
                  </c:pt>
                  <c:pt idx="1">
                    <c:v>252884.59281646763</c:v>
                  </c:pt>
                  <c:pt idx="2">
                    <c:v>168589.72854431174</c:v>
                  </c:pt>
                  <c:pt idx="3">
                    <c:v>126442.29640823381</c:v>
                  </c:pt>
                  <c:pt idx="4">
                    <c:v>84294.864272155872</c:v>
                  </c:pt>
                  <c:pt idx="5">
                    <c:v>59006.404990509116</c:v>
                  </c:pt>
                  <c:pt idx="6">
                    <c:v>33717.945708862353</c:v>
                  </c:pt>
                  <c:pt idx="7">
                    <c:v>16858.972854431177</c:v>
                  </c:pt>
                  <c:pt idx="8">
                    <c:v>188015.40957773419</c:v>
                  </c:pt>
                  <c:pt idx="9">
                    <c:v>141011.55718330064</c:v>
                  </c:pt>
                  <c:pt idx="10">
                    <c:v>94007.704788867093</c:v>
                  </c:pt>
                  <c:pt idx="11">
                    <c:v>70505.77859165032</c:v>
                  </c:pt>
                  <c:pt idx="12">
                    <c:v>47003.852394433547</c:v>
                  </c:pt>
                  <c:pt idx="13">
                    <c:v>32902.696676103486</c:v>
                  </c:pt>
                  <c:pt idx="14">
                    <c:v>18801.540957773421</c:v>
                  </c:pt>
                  <c:pt idx="15">
                    <c:v>9400.7704788867104</c:v>
                  </c:pt>
                </c:numCache>
              </c:numRef>
            </c:plus>
            <c:minus>
              <c:numRef>
                <c:f>Absorbance!$P$2:$P$24</c:f>
                <c:numCache>
                  <c:formatCode>General</c:formatCode>
                  <c:ptCount val="16"/>
                  <c:pt idx="0">
                    <c:v>337179.45708862349</c:v>
                  </c:pt>
                  <c:pt idx="1">
                    <c:v>252884.59281646763</c:v>
                  </c:pt>
                  <c:pt idx="2">
                    <c:v>168589.72854431174</c:v>
                  </c:pt>
                  <c:pt idx="3">
                    <c:v>126442.29640823381</c:v>
                  </c:pt>
                  <c:pt idx="4">
                    <c:v>84294.864272155872</c:v>
                  </c:pt>
                  <c:pt idx="5">
                    <c:v>59006.404990509116</c:v>
                  </c:pt>
                  <c:pt idx="6">
                    <c:v>33717.945708862353</c:v>
                  </c:pt>
                  <c:pt idx="7">
                    <c:v>16858.972854431177</c:v>
                  </c:pt>
                  <c:pt idx="8">
                    <c:v>188015.40957773419</c:v>
                  </c:pt>
                  <c:pt idx="9">
                    <c:v>141011.55718330064</c:v>
                  </c:pt>
                  <c:pt idx="10">
                    <c:v>94007.704788867093</c:v>
                  </c:pt>
                  <c:pt idx="11">
                    <c:v>70505.77859165032</c:v>
                  </c:pt>
                  <c:pt idx="12">
                    <c:v>47003.852394433547</c:v>
                  </c:pt>
                  <c:pt idx="13">
                    <c:v>32902.696676103486</c:v>
                  </c:pt>
                  <c:pt idx="14">
                    <c:v>18801.540957773421</c:v>
                  </c:pt>
                  <c:pt idx="15">
                    <c:v>9400.7704788867104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Absorbance!$O$2:$O$24</c:f>
              <c:numCache>
                <c:formatCode>0</c:formatCode>
                <c:ptCount val="16"/>
                <c:pt idx="0">
                  <c:v>31777777.77777778</c:v>
                </c:pt>
                <c:pt idx="1">
                  <c:v>23833333.333333336</c:v>
                </c:pt>
                <c:pt idx="2">
                  <c:v>15888888.88888889</c:v>
                </c:pt>
                <c:pt idx="3">
                  <c:v>11916666.666666668</c:v>
                </c:pt>
                <c:pt idx="4">
                  <c:v>7944444.444444445</c:v>
                </c:pt>
                <c:pt idx="5">
                  <c:v>5561111.1111111119</c:v>
                </c:pt>
                <c:pt idx="6">
                  <c:v>3177777.777777778</c:v>
                </c:pt>
                <c:pt idx="7">
                  <c:v>1588888.888888889</c:v>
                </c:pt>
                <c:pt idx="8">
                  <c:v>29533333.333333332</c:v>
                </c:pt>
                <c:pt idx="9">
                  <c:v>22150000</c:v>
                </c:pt>
                <c:pt idx="10">
                  <c:v>14766666.666666666</c:v>
                </c:pt>
                <c:pt idx="11">
                  <c:v>11075000</c:v>
                </c:pt>
                <c:pt idx="12">
                  <c:v>7383333.333333333</c:v>
                </c:pt>
                <c:pt idx="13">
                  <c:v>5168333.333333334</c:v>
                </c:pt>
                <c:pt idx="14">
                  <c:v>2953333.3333333335</c:v>
                </c:pt>
                <c:pt idx="15">
                  <c:v>1476666.6666666667</c:v>
                </c:pt>
              </c:numCache>
            </c:numRef>
          </c:xVal>
          <c:yVal>
            <c:numRef>
              <c:f>Absorbance!$I$2:$I$24</c:f>
              <c:numCache>
                <c:formatCode>0.000</c:formatCode>
                <c:ptCount val="16"/>
                <c:pt idx="0">
                  <c:v>1.409</c:v>
                </c:pt>
                <c:pt idx="1">
                  <c:v>1.0706666666666667</c:v>
                </c:pt>
                <c:pt idx="2">
                  <c:v>0.7543333333333333</c:v>
                </c:pt>
                <c:pt idx="3">
                  <c:v>0.55233333333333334</c:v>
                </c:pt>
                <c:pt idx="4">
                  <c:v>0.38633333333333336</c:v>
                </c:pt>
                <c:pt idx="5">
                  <c:v>0.27666666666666667</c:v>
                </c:pt>
                <c:pt idx="6">
                  <c:v>0.161</c:v>
                </c:pt>
                <c:pt idx="7">
                  <c:v>8.3666666666666667E-2</c:v>
                </c:pt>
                <c:pt idx="8">
                  <c:v>1.3843333333333334</c:v>
                </c:pt>
                <c:pt idx="9">
                  <c:v>1.048</c:v>
                </c:pt>
                <c:pt idx="10">
                  <c:v>0.72966666666666669</c:v>
                </c:pt>
                <c:pt idx="11">
                  <c:v>0.52</c:v>
                </c:pt>
                <c:pt idx="12">
                  <c:v>0.35600000000000004</c:v>
                </c:pt>
                <c:pt idx="13">
                  <c:v>0.26533333333333337</c:v>
                </c:pt>
                <c:pt idx="14">
                  <c:v>0.15533333333333332</c:v>
                </c:pt>
                <c:pt idx="15">
                  <c:v>8.4000000000000005E-2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E54-40FE-BF07-97952016D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020176"/>
        <c:axId val="1228022576"/>
      </c:scatterChart>
      <c:valAx>
        <c:axId val="122802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8022576"/>
        <c:crosses val="autoZero"/>
        <c:crossBetween val="midCat"/>
      </c:valAx>
      <c:valAx>
        <c:axId val="122802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802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253980752405949"/>
                  <c:y val="5.5138888888888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Absorbance!$L$10:$L$31</c:f>
                <c:numCache>
                  <c:formatCode>General</c:formatCode>
                  <c:ptCount val="8"/>
                  <c:pt idx="0">
                    <c:v>8.9979421515678937E-3</c:v>
                  </c:pt>
                  <c:pt idx="1">
                    <c:v>6.944222218666531E-3</c:v>
                  </c:pt>
                  <c:pt idx="2">
                    <c:v>4.1186117761890352E-3</c:v>
                  </c:pt>
                  <c:pt idx="3">
                    <c:v>1.5520595635763768E-2</c:v>
                  </c:pt>
                  <c:pt idx="4">
                    <c:v>1.1264496832477197E-2</c:v>
                  </c:pt>
                  <c:pt idx="5">
                    <c:v>2.4190601174530293E-3</c:v>
                  </c:pt>
                  <c:pt idx="6">
                    <c:v>1.3452247506010439E-2</c:v>
                  </c:pt>
                  <c:pt idx="7">
                    <c:v>4.9665548085837813E-3</c:v>
                  </c:pt>
                </c:numCache>
              </c:numRef>
            </c:plus>
            <c:minus>
              <c:numRef>
                <c:f>Absorbance!$L$10:$L$31</c:f>
                <c:numCache>
                  <c:formatCode>General</c:formatCode>
                  <c:ptCount val="8"/>
                  <c:pt idx="0">
                    <c:v>8.9979421515678937E-3</c:v>
                  </c:pt>
                  <c:pt idx="1">
                    <c:v>6.944222218666531E-3</c:v>
                  </c:pt>
                  <c:pt idx="2">
                    <c:v>4.1186117761890352E-3</c:v>
                  </c:pt>
                  <c:pt idx="3">
                    <c:v>1.5520595635763768E-2</c:v>
                  </c:pt>
                  <c:pt idx="4">
                    <c:v>1.1264496832477197E-2</c:v>
                  </c:pt>
                  <c:pt idx="5">
                    <c:v>2.4190601174530293E-3</c:v>
                  </c:pt>
                  <c:pt idx="6">
                    <c:v>1.3452247506010439E-2</c:v>
                  </c:pt>
                  <c:pt idx="7">
                    <c:v>4.9665548085837813E-3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Absorbance!$P$10:$P$31</c:f>
                <c:numCache>
                  <c:formatCode>General</c:formatCode>
                  <c:ptCount val="8"/>
                  <c:pt idx="0">
                    <c:v>188015.40957773419</c:v>
                  </c:pt>
                  <c:pt idx="1">
                    <c:v>141011.55718330064</c:v>
                  </c:pt>
                  <c:pt idx="2">
                    <c:v>94007.704788867093</c:v>
                  </c:pt>
                  <c:pt idx="3">
                    <c:v>70505.77859165032</c:v>
                  </c:pt>
                  <c:pt idx="4">
                    <c:v>47003.852394433547</c:v>
                  </c:pt>
                  <c:pt idx="5">
                    <c:v>32902.696676103486</c:v>
                  </c:pt>
                  <c:pt idx="6">
                    <c:v>18801.540957773421</c:v>
                  </c:pt>
                  <c:pt idx="7">
                    <c:v>9400.7704788867104</c:v>
                  </c:pt>
                </c:numCache>
              </c:numRef>
            </c:plus>
            <c:minus>
              <c:numRef>
                <c:f>Absorbance!$P$10:$P$31</c:f>
                <c:numCache>
                  <c:formatCode>General</c:formatCode>
                  <c:ptCount val="8"/>
                  <c:pt idx="0">
                    <c:v>188015.40957773419</c:v>
                  </c:pt>
                  <c:pt idx="1">
                    <c:v>141011.55718330064</c:v>
                  </c:pt>
                  <c:pt idx="2">
                    <c:v>94007.704788867093</c:v>
                  </c:pt>
                  <c:pt idx="3">
                    <c:v>70505.77859165032</c:v>
                  </c:pt>
                  <c:pt idx="4">
                    <c:v>47003.852394433547</c:v>
                  </c:pt>
                  <c:pt idx="5">
                    <c:v>32902.696676103486</c:v>
                  </c:pt>
                  <c:pt idx="6">
                    <c:v>18801.540957773421</c:v>
                  </c:pt>
                  <c:pt idx="7">
                    <c:v>9400.7704788867104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Absorbance!$O$10:$O$31</c:f>
              <c:numCache>
                <c:formatCode>0</c:formatCode>
                <c:ptCount val="8"/>
                <c:pt idx="0">
                  <c:v>29533333.333333332</c:v>
                </c:pt>
                <c:pt idx="1">
                  <c:v>22150000</c:v>
                </c:pt>
                <c:pt idx="2">
                  <c:v>14766666.666666666</c:v>
                </c:pt>
                <c:pt idx="3">
                  <c:v>11075000</c:v>
                </c:pt>
                <c:pt idx="4">
                  <c:v>7383333.333333333</c:v>
                </c:pt>
                <c:pt idx="5">
                  <c:v>5168333.333333334</c:v>
                </c:pt>
                <c:pt idx="6">
                  <c:v>2953333.3333333335</c:v>
                </c:pt>
                <c:pt idx="7">
                  <c:v>1476666.6666666667</c:v>
                </c:pt>
              </c:numCache>
            </c:numRef>
          </c:xVal>
          <c:yVal>
            <c:numRef>
              <c:f>Absorbance!$I$10:$I$31</c:f>
              <c:numCache>
                <c:formatCode>0.000</c:formatCode>
                <c:ptCount val="8"/>
                <c:pt idx="0">
                  <c:v>1.3843333333333334</c:v>
                </c:pt>
                <c:pt idx="1">
                  <c:v>1.048</c:v>
                </c:pt>
                <c:pt idx="2">
                  <c:v>0.72966666666666669</c:v>
                </c:pt>
                <c:pt idx="3">
                  <c:v>0.52</c:v>
                </c:pt>
                <c:pt idx="4">
                  <c:v>0.35600000000000004</c:v>
                </c:pt>
                <c:pt idx="5">
                  <c:v>0.26533333333333337</c:v>
                </c:pt>
                <c:pt idx="6">
                  <c:v>0.15533333333333332</c:v>
                </c:pt>
                <c:pt idx="7">
                  <c:v>8.4000000000000005E-2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9C-4F67-8210-8443655C2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818208"/>
        <c:axId val="1220839328"/>
      </c:scatterChart>
      <c:valAx>
        <c:axId val="122081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0839328"/>
        <c:crosses val="autoZero"/>
        <c:crossBetween val="midCat"/>
      </c:valAx>
      <c:valAx>
        <c:axId val="122083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081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311718</xdr:colOff>
      <xdr:row>1</xdr:row>
      <xdr:rowOff>133145</xdr:rowOff>
    </xdr:from>
    <xdr:to>
      <xdr:col>28</xdr:col>
      <xdr:colOff>440404</xdr:colOff>
      <xdr:row>31</xdr:row>
      <xdr:rowOff>30726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2246699-FBF5-B42B-0E7B-B6AC03285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130703</xdr:colOff>
      <xdr:row>1</xdr:row>
      <xdr:rowOff>61451</xdr:rowOff>
    </xdr:from>
    <xdr:to>
      <xdr:col>22</xdr:col>
      <xdr:colOff>133144</xdr:colOff>
      <xdr:row>24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992F911-DD67-DB55-551D-9FF4EC5B6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57"/>
  <sheetViews>
    <sheetView topLeftCell="H1" zoomScale="63" workbookViewId="0">
      <selection activeCell="Q13" sqref="Q13"/>
    </sheetView>
  </sheetViews>
  <sheetFormatPr baseColWidth="10" defaultColWidth="11.25" defaultRowHeight="15" customHeight="1" x14ac:dyDescent="0.35"/>
  <cols>
    <col min="1" max="1" width="21.83203125" style="1" bestFit="1" customWidth="1"/>
    <col min="2" max="6" width="6.83203125" style="1" bestFit="1" customWidth="1"/>
    <col min="7" max="7" width="20.5" style="1" bestFit="1" customWidth="1"/>
    <col min="8" max="8" width="26.25" style="1" bestFit="1" customWidth="1"/>
    <col min="9" max="9" width="21.33203125" style="1" bestFit="1" customWidth="1"/>
    <col min="10" max="10" width="16.5" style="1" bestFit="1" customWidth="1"/>
    <col min="11" max="11" width="15.9140625" style="1" bestFit="1" customWidth="1"/>
    <col min="12" max="12" width="17.6640625" style="1" bestFit="1" customWidth="1"/>
    <col min="13" max="13" width="12" style="1" bestFit="1" customWidth="1"/>
    <col min="14" max="14" width="11" style="1" bestFit="1" customWidth="1"/>
    <col min="15" max="15" width="13.5" style="1" bestFit="1" customWidth="1"/>
    <col min="16" max="16" width="7.25" style="1" bestFit="1" customWidth="1"/>
    <col min="17" max="17" width="10.5" style="1" bestFit="1" customWidth="1"/>
    <col min="18" max="18" width="12.4140625" style="1" bestFit="1" customWidth="1"/>
    <col min="19" max="19" width="9.4140625" style="1" bestFit="1" customWidth="1"/>
    <col min="20" max="20" width="5" style="1" bestFit="1" customWidth="1"/>
    <col min="21" max="21" width="9.4140625" style="1" bestFit="1" customWidth="1"/>
    <col min="22" max="22" width="12.58203125" style="1" bestFit="1" customWidth="1"/>
    <col min="23" max="23" width="5" style="1" bestFit="1" customWidth="1"/>
    <col min="24" max="16384" width="11.25" style="1"/>
  </cols>
  <sheetData>
    <row r="1" spans="1:22" ht="15.5" x14ac:dyDescent="0.35">
      <c r="A1" s="1" t="s">
        <v>40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9</v>
      </c>
      <c r="L1" s="1" t="s">
        <v>10</v>
      </c>
      <c r="N1" s="1" t="s">
        <v>18</v>
      </c>
      <c r="O1" s="1" t="s">
        <v>19</v>
      </c>
      <c r="P1" s="1" t="s">
        <v>31</v>
      </c>
      <c r="Q1" s="1" t="s">
        <v>20</v>
      </c>
      <c r="R1" s="1" t="s">
        <v>22</v>
      </c>
      <c r="S1" s="1" t="s">
        <v>21</v>
      </c>
      <c r="T1" s="1" t="s">
        <v>39</v>
      </c>
      <c r="U1" s="1" t="s">
        <v>23</v>
      </c>
      <c r="V1" s="1" t="s">
        <v>38</v>
      </c>
    </row>
    <row r="2" spans="1:22" ht="15" customHeight="1" x14ac:dyDescent="0.35">
      <c r="A2" s="1" t="s">
        <v>11</v>
      </c>
      <c r="B2" s="1">
        <v>45</v>
      </c>
      <c r="C2" s="1">
        <v>47</v>
      </c>
      <c r="D2" s="1">
        <v>34</v>
      </c>
      <c r="E2" s="1">
        <v>57</v>
      </c>
      <c r="F2" s="1">
        <v>45</v>
      </c>
      <c r="G2" s="1">
        <f t="shared" ref="G2:G3" si="0">AVERAGE(B2:F2)</f>
        <v>45.6</v>
      </c>
      <c r="H2" s="1">
        <v>10</v>
      </c>
      <c r="I2" s="1">
        <f t="shared" ref="I2:I37" si="1">0.0000001</f>
        <v>9.9999999999999995E-8</v>
      </c>
      <c r="J2" s="1">
        <v>2000</v>
      </c>
      <c r="K2" s="1">
        <f t="shared" ref="K2:K3" si="2">(G2/I2)*J2</f>
        <v>912000000000.00012</v>
      </c>
      <c r="L2" s="1">
        <f t="shared" ref="L2:L3" si="3">K2/1000</f>
        <v>912000000.00000012</v>
      </c>
      <c r="N2" s="5">
        <v>46063</v>
      </c>
      <c r="O2" s="6" t="s">
        <v>24</v>
      </c>
      <c r="P2" s="1">
        <f>6</f>
        <v>6</v>
      </c>
      <c r="Q2" s="3">
        <f>AVERAGE(L26:L31)</f>
        <v>855333333.33333337</v>
      </c>
      <c r="R2" s="1">
        <f>_xlfn.VAR.P(L26:L31)</f>
        <v>5447555555555555</v>
      </c>
      <c r="S2" s="3">
        <f>SQRT(R2)</f>
        <v>73807557.57749714</v>
      </c>
      <c r="T2" s="3">
        <f>(100*S2/Q2)</f>
        <v>8.6290987035265552</v>
      </c>
      <c r="U2" s="3">
        <f>S2/P2</f>
        <v>12301259.596249523</v>
      </c>
      <c r="V2" s="1">
        <f>(100*U2/Q2)</f>
        <v>1.4381831172544259</v>
      </c>
    </row>
    <row r="3" spans="1:22" ht="15" customHeight="1" x14ac:dyDescent="0.35">
      <c r="A3" s="1" t="s">
        <v>11</v>
      </c>
      <c r="B3" s="1">
        <v>48</v>
      </c>
      <c r="C3" s="1">
        <v>51</v>
      </c>
      <c r="D3" s="1">
        <v>56</v>
      </c>
      <c r="E3" s="1">
        <v>39</v>
      </c>
      <c r="F3" s="1">
        <v>64</v>
      </c>
      <c r="G3" s="1">
        <f t="shared" si="0"/>
        <v>51.6</v>
      </c>
      <c r="H3" s="1">
        <v>10</v>
      </c>
      <c r="I3" s="1">
        <f t="shared" si="1"/>
        <v>9.9999999999999995E-8</v>
      </c>
      <c r="J3" s="1">
        <v>2000</v>
      </c>
      <c r="K3" s="1">
        <f t="shared" si="2"/>
        <v>1032000000000.0001</v>
      </c>
      <c r="L3" s="1">
        <f t="shared" si="3"/>
        <v>1032000000.0000001</v>
      </c>
      <c r="N3" s="5">
        <v>46063</v>
      </c>
      <c r="O3" s="6" t="s">
        <v>25</v>
      </c>
      <c r="P3" s="1">
        <f>6</f>
        <v>6</v>
      </c>
      <c r="Q3" s="3">
        <f>AVERAGE(L32:L37)</f>
        <v>196833333.33333334</v>
      </c>
      <c r="R3" s="1">
        <f>_xlfn.VAR.P(L32:L37)</f>
        <v>116805555555555.56</v>
      </c>
      <c r="S3" s="3">
        <f>SQRT(R3)</f>
        <v>10807661.891248984</v>
      </c>
      <c r="T3" s="3">
        <f>(100*S3/Q3)</f>
        <v>5.4907681073237855</v>
      </c>
      <c r="U3" s="3">
        <f>S3/P3</f>
        <v>1801276.9818748308</v>
      </c>
      <c r="V3" s="1">
        <f>(100*U3/Q3)</f>
        <v>0.91512801788729747</v>
      </c>
    </row>
    <row r="4" spans="1:22" ht="15" customHeight="1" x14ac:dyDescent="0.35">
      <c r="A4" s="1" t="s">
        <v>11</v>
      </c>
      <c r="B4" s="1">
        <v>38</v>
      </c>
      <c r="C4" s="1">
        <v>46</v>
      </c>
      <c r="D4" s="1">
        <v>50</v>
      </c>
      <c r="E4" s="1">
        <v>49</v>
      </c>
      <c r="F4" s="1">
        <v>46</v>
      </c>
      <c r="G4" s="1">
        <f t="shared" ref="G4:G31" si="4">AVERAGE(B4:F4)</f>
        <v>45.8</v>
      </c>
      <c r="H4" s="1">
        <v>10</v>
      </c>
      <c r="I4" s="1">
        <f t="shared" si="1"/>
        <v>9.9999999999999995E-8</v>
      </c>
      <c r="J4" s="1">
        <v>2000</v>
      </c>
      <c r="K4" s="1">
        <f t="shared" ref="K4:K7" si="5">(G4/I4)*J4</f>
        <v>916000000000</v>
      </c>
      <c r="L4" s="1">
        <f t="shared" ref="L4:L7" si="6">K4/1000</f>
        <v>916000000</v>
      </c>
      <c r="N4" s="5">
        <v>46070</v>
      </c>
      <c r="O4" s="6" t="s">
        <v>24</v>
      </c>
      <c r="P4" s="1">
        <f>6</f>
        <v>6</v>
      </c>
      <c r="Q4" s="3">
        <f>AVERAGE(L2:L7)</f>
        <v>953333333.33333337</v>
      </c>
      <c r="R4" s="1">
        <f>_xlfn.VAR.P(L2:L7)</f>
        <v>3683555555555556.5</v>
      </c>
      <c r="S4" s="3">
        <f>SQRT(R4)</f>
        <v>60692302.275952235</v>
      </c>
      <c r="T4" s="3">
        <f>(100*S4/Q4)</f>
        <v>6.3663254135614231</v>
      </c>
      <c r="U4" s="3">
        <f>S4/P4</f>
        <v>10115383.712658705</v>
      </c>
      <c r="V4" s="1">
        <f>(100*U4/Q4)</f>
        <v>1.0610542355935706</v>
      </c>
    </row>
    <row r="5" spans="1:22" ht="15" customHeight="1" x14ac:dyDescent="0.35">
      <c r="A5" s="1" t="s">
        <v>11</v>
      </c>
      <c r="B5" s="1">
        <v>40</v>
      </c>
      <c r="C5" s="1">
        <v>55</v>
      </c>
      <c r="D5" s="1">
        <v>40</v>
      </c>
      <c r="E5" s="1">
        <v>47</v>
      </c>
      <c r="F5" s="1">
        <v>36</v>
      </c>
      <c r="G5" s="1">
        <f t="shared" si="4"/>
        <v>43.6</v>
      </c>
      <c r="H5" s="1">
        <v>10</v>
      </c>
      <c r="I5" s="1">
        <f t="shared" si="1"/>
        <v>9.9999999999999995E-8</v>
      </c>
      <c r="J5" s="1">
        <v>2000</v>
      </c>
      <c r="K5" s="1">
        <f t="shared" si="5"/>
        <v>872000000000.00012</v>
      </c>
      <c r="L5" s="1">
        <f t="shared" si="6"/>
        <v>872000000.00000012</v>
      </c>
      <c r="N5" s="5">
        <v>46070</v>
      </c>
      <c r="O5" s="6" t="s">
        <v>25</v>
      </c>
      <c r="P5" s="1">
        <f>6</f>
        <v>6</v>
      </c>
      <c r="Q5" s="3">
        <f>AVERAGE(L8:L13)</f>
        <v>150166666.66666666</v>
      </c>
      <c r="R5" s="1">
        <f>_xlfn.VAR.P(L8:L13)</f>
        <v>442138888888888.88</v>
      </c>
      <c r="S5" s="3">
        <f>SQRT(R5)</f>
        <v>21027098.917560853</v>
      </c>
      <c r="T5" s="3">
        <f>(100*S5/Q5)</f>
        <v>14.002507603259172</v>
      </c>
      <c r="U5" s="3">
        <f>S5/P5</f>
        <v>3504516.4862601422</v>
      </c>
      <c r="V5" s="1">
        <f>(100*U5/Q5)</f>
        <v>2.3337512672098617</v>
      </c>
    </row>
    <row r="6" spans="1:22" ht="15" customHeight="1" x14ac:dyDescent="0.35">
      <c r="A6" s="1" t="s">
        <v>11</v>
      </c>
      <c r="B6" s="1">
        <v>51</v>
      </c>
      <c r="C6" s="1">
        <v>48</v>
      </c>
      <c r="D6" s="1">
        <v>43</v>
      </c>
      <c r="E6" s="1">
        <v>58</v>
      </c>
      <c r="F6" s="1">
        <v>39</v>
      </c>
      <c r="G6" s="1">
        <f t="shared" si="4"/>
        <v>47.8</v>
      </c>
      <c r="H6" s="1">
        <v>10</v>
      </c>
      <c r="I6" s="1">
        <f t="shared" si="1"/>
        <v>9.9999999999999995E-8</v>
      </c>
      <c r="J6" s="1">
        <v>2000</v>
      </c>
      <c r="K6" s="1">
        <f t="shared" si="5"/>
        <v>956000000000</v>
      </c>
      <c r="L6" s="1">
        <f t="shared" si="6"/>
        <v>956000000</v>
      </c>
      <c r="N6" s="5">
        <v>46077</v>
      </c>
      <c r="O6" s="6" t="s">
        <v>24</v>
      </c>
      <c r="P6" s="1">
        <f>6</f>
        <v>6</v>
      </c>
      <c r="Q6" s="3">
        <f>AVERAGE(L14:L19)</f>
        <v>886000000</v>
      </c>
      <c r="R6" s="1">
        <f>_xlfn.VAR.P(L14:L19)</f>
        <v>1145333333333333.8</v>
      </c>
      <c r="S6" s="3">
        <f>SQRT(R6)</f>
        <v>33842773.723992154</v>
      </c>
      <c r="T6" s="3">
        <f>(100*S6/Q6)</f>
        <v>3.8197261539494529</v>
      </c>
      <c r="U6" s="3">
        <f>S6/P6</f>
        <v>5640462.2873320254</v>
      </c>
      <c r="V6" s="1">
        <f>(100*U6/Q6)</f>
        <v>0.63662102565824219</v>
      </c>
    </row>
    <row r="7" spans="1:22" ht="15" customHeight="1" x14ac:dyDescent="0.35">
      <c r="A7" s="1" t="s">
        <v>11</v>
      </c>
      <c r="B7" s="1">
        <v>59</v>
      </c>
      <c r="C7" s="1">
        <v>41</v>
      </c>
      <c r="D7" s="1">
        <v>44</v>
      </c>
      <c r="E7" s="1">
        <v>52</v>
      </c>
      <c r="F7" s="1">
        <v>62</v>
      </c>
      <c r="G7" s="1">
        <f t="shared" si="4"/>
        <v>51.6</v>
      </c>
      <c r="H7" s="1">
        <v>10</v>
      </c>
      <c r="I7" s="1">
        <f t="shared" si="1"/>
        <v>9.9999999999999995E-8</v>
      </c>
      <c r="J7" s="1">
        <v>2000</v>
      </c>
      <c r="K7" s="1">
        <f t="shared" si="5"/>
        <v>1032000000000.0001</v>
      </c>
      <c r="L7" s="1">
        <f t="shared" si="6"/>
        <v>1032000000.0000001</v>
      </c>
      <c r="N7" s="5">
        <v>46077</v>
      </c>
      <c r="O7" s="6" t="s">
        <v>25</v>
      </c>
      <c r="P7" s="1">
        <f>6</f>
        <v>6</v>
      </c>
      <c r="Q7" s="3">
        <f>AVERAGE(L20:L25)</f>
        <v>158500000</v>
      </c>
      <c r="R7" s="1">
        <f>_xlfn.VAR.P(L20:L25)</f>
        <v>72916666666666.672</v>
      </c>
      <c r="S7" s="3">
        <f>SQRT(R7)</f>
        <v>8539125.6382996663</v>
      </c>
      <c r="T7" s="3">
        <f>(100*S7/Q7)</f>
        <v>5.3874609705360674</v>
      </c>
      <c r="U7" s="3">
        <f>S7/P7</f>
        <v>1423187.6063832778</v>
      </c>
      <c r="V7" s="1">
        <f>(100*U7/Q7)</f>
        <v>0.89791016175601124</v>
      </c>
    </row>
    <row r="8" spans="1:22" ht="15" customHeight="1" x14ac:dyDescent="0.35">
      <c r="A8" s="1" t="s">
        <v>12</v>
      </c>
      <c r="B8" s="1">
        <v>46</v>
      </c>
      <c r="C8" s="1">
        <v>37</v>
      </c>
      <c r="D8" s="1">
        <v>36</v>
      </c>
      <c r="E8" s="1">
        <v>40</v>
      </c>
      <c r="F8" s="1">
        <v>31</v>
      </c>
      <c r="G8" s="1">
        <f t="shared" si="4"/>
        <v>38</v>
      </c>
      <c r="H8" s="1">
        <v>10</v>
      </c>
      <c r="I8" s="1">
        <f t="shared" si="1"/>
        <v>9.9999999999999995E-8</v>
      </c>
      <c r="J8" s="1">
        <v>500</v>
      </c>
      <c r="K8" s="1">
        <f t="shared" ref="K8:K13" si="7">(G8/I8)*J8</f>
        <v>190000000000</v>
      </c>
      <c r="L8" s="1">
        <f t="shared" ref="L8:L13" si="8">K8/1000</f>
        <v>190000000</v>
      </c>
    </row>
    <row r="9" spans="1:22" ht="15" customHeight="1" x14ac:dyDescent="0.35">
      <c r="A9" s="1" t="s">
        <v>12</v>
      </c>
      <c r="B9" s="1">
        <v>28</v>
      </c>
      <c r="C9" s="1">
        <v>39</v>
      </c>
      <c r="D9" s="1">
        <v>27</v>
      </c>
      <c r="E9" s="1">
        <v>32</v>
      </c>
      <c r="F9" s="1">
        <v>36</v>
      </c>
      <c r="G9" s="1">
        <f t="shared" si="4"/>
        <v>32.4</v>
      </c>
      <c r="H9" s="1">
        <v>10</v>
      </c>
      <c r="I9" s="1">
        <f t="shared" si="1"/>
        <v>9.9999999999999995E-8</v>
      </c>
      <c r="J9" s="1">
        <v>500</v>
      </c>
      <c r="K9" s="1">
        <f t="shared" si="7"/>
        <v>162000000000</v>
      </c>
      <c r="L9" s="1">
        <f t="shared" si="8"/>
        <v>162000000</v>
      </c>
    </row>
    <row r="10" spans="1:22" ht="15" customHeight="1" x14ac:dyDescent="0.35">
      <c r="A10" s="1" t="s">
        <v>12</v>
      </c>
      <c r="B10" s="1">
        <v>46</v>
      </c>
      <c r="C10" s="1">
        <v>28</v>
      </c>
      <c r="D10" s="1">
        <v>22</v>
      </c>
      <c r="E10" s="1">
        <v>17</v>
      </c>
      <c r="F10" s="1">
        <v>25</v>
      </c>
      <c r="G10" s="1">
        <f t="shared" si="4"/>
        <v>27.6</v>
      </c>
      <c r="H10" s="1">
        <v>10</v>
      </c>
      <c r="I10" s="1">
        <f t="shared" si="1"/>
        <v>9.9999999999999995E-8</v>
      </c>
      <c r="J10" s="1">
        <v>500</v>
      </c>
      <c r="K10" s="1">
        <f t="shared" si="7"/>
        <v>138000000000</v>
      </c>
      <c r="L10" s="1">
        <f t="shared" si="8"/>
        <v>138000000</v>
      </c>
    </row>
    <row r="11" spans="1:22" ht="15" customHeight="1" x14ac:dyDescent="0.35">
      <c r="A11" s="1" t="s">
        <v>12</v>
      </c>
      <c r="B11" s="1">
        <v>28</v>
      </c>
      <c r="C11" s="1">
        <v>17</v>
      </c>
      <c r="D11" s="1">
        <v>25</v>
      </c>
      <c r="E11" s="1">
        <v>28</v>
      </c>
      <c r="F11" s="1">
        <v>26</v>
      </c>
      <c r="G11" s="1">
        <f t="shared" si="4"/>
        <v>24.8</v>
      </c>
      <c r="H11" s="1">
        <v>10</v>
      </c>
      <c r="I11" s="1">
        <f t="shared" si="1"/>
        <v>9.9999999999999995E-8</v>
      </c>
      <c r="J11" s="1">
        <v>500</v>
      </c>
      <c r="K11" s="1">
        <f t="shared" si="7"/>
        <v>124000000000.00002</v>
      </c>
      <c r="L11" s="1">
        <f t="shared" si="8"/>
        <v>124000000.00000001</v>
      </c>
    </row>
    <row r="12" spans="1:22" ht="15" customHeight="1" x14ac:dyDescent="0.35">
      <c r="A12" s="1" t="s">
        <v>12</v>
      </c>
      <c r="B12" s="1">
        <v>34</v>
      </c>
      <c r="C12" s="1">
        <v>28</v>
      </c>
      <c r="D12" s="1">
        <v>24</v>
      </c>
      <c r="E12" s="1">
        <v>24</v>
      </c>
      <c r="F12" s="1">
        <v>35</v>
      </c>
      <c r="G12" s="1">
        <f t="shared" si="4"/>
        <v>29</v>
      </c>
      <c r="H12" s="1">
        <v>10</v>
      </c>
      <c r="I12" s="1">
        <f t="shared" si="1"/>
        <v>9.9999999999999995E-8</v>
      </c>
      <c r="J12" s="1">
        <v>500</v>
      </c>
      <c r="K12" s="1">
        <f t="shared" si="7"/>
        <v>145000000000</v>
      </c>
      <c r="L12" s="1">
        <f t="shared" si="8"/>
        <v>145000000</v>
      </c>
    </row>
    <row r="13" spans="1:22" ht="15" customHeight="1" x14ac:dyDescent="0.35">
      <c r="A13" s="1" t="s">
        <v>12</v>
      </c>
      <c r="B13" s="1">
        <v>21</v>
      </c>
      <c r="C13" s="1">
        <v>32</v>
      </c>
      <c r="D13" s="1">
        <v>35</v>
      </c>
      <c r="E13" s="1">
        <v>31</v>
      </c>
      <c r="F13" s="1">
        <v>23</v>
      </c>
      <c r="G13" s="1">
        <f t="shared" si="4"/>
        <v>28.4</v>
      </c>
      <c r="H13" s="1">
        <v>10</v>
      </c>
      <c r="I13" s="1">
        <f t="shared" si="1"/>
        <v>9.9999999999999995E-8</v>
      </c>
      <c r="J13" s="1">
        <v>500</v>
      </c>
      <c r="K13" s="1">
        <f t="shared" si="7"/>
        <v>142000000000</v>
      </c>
      <c r="L13" s="1">
        <f t="shared" si="8"/>
        <v>142000000</v>
      </c>
    </row>
    <row r="14" spans="1:22" ht="15" customHeight="1" x14ac:dyDescent="0.35">
      <c r="A14" s="1" t="s">
        <v>16</v>
      </c>
      <c r="B14" s="1">
        <v>51</v>
      </c>
      <c r="C14" s="1">
        <v>37</v>
      </c>
      <c r="D14" s="1">
        <v>47</v>
      </c>
      <c r="E14" s="1">
        <v>49</v>
      </c>
      <c r="F14" s="1">
        <v>39</v>
      </c>
      <c r="G14" s="1">
        <f t="shared" si="4"/>
        <v>44.6</v>
      </c>
      <c r="H14" s="1">
        <v>10</v>
      </c>
      <c r="I14" s="1">
        <f t="shared" si="1"/>
        <v>9.9999999999999995E-8</v>
      </c>
      <c r="J14" s="1">
        <v>2000</v>
      </c>
      <c r="K14" s="1">
        <f t="shared" ref="K14:K37" si="9">(G14/I14)*J14</f>
        <v>892000000000.00012</v>
      </c>
      <c r="L14" s="1">
        <f t="shared" ref="L14:L37" si="10">K14/1000</f>
        <v>892000000.00000012</v>
      </c>
    </row>
    <row r="15" spans="1:22" ht="15" customHeight="1" x14ac:dyDescent="0.35">
      <c r="A15" s="1" t="s">
        <v>16</v>
      </c>
      <c r="B15" s="1">
        <v>42</v>
      </c>
      <c r="C15" s="1">
        <v>59</v>
      </c>
      <c r="D15" s="1">
        <v>36</v>
      </c>
      <c r="E15" s="1">
        <v>33</v>
      </c>
      <c r="F15" s="1">
        <v>54</v>
      </c>
      <c r="G15" s="1">
        <f t="shared" si="4"/>
        <v>44.8</v>
      </c>
      <c r="H15" s="1">
        <v>10</v>
      </c>
      <c r="I15" s="1">
        <f t="shared" si="1"/>
        <v>9.9999999999999995E-8</v>
      </c>
      <c r="J15" s="1">
        <v>2000</v>
      </c>
      <c r="K15" s="1">
        <f t="shared" si="9"/>
        <v>896000000000</v>
      </c>
      <c r="L15" s="1">
        <f t="shared" si="10"/>
        <v>896000000</v>
      </c>
    </row>
    <row r="16" spans="1:22" ht="15" customHeight="1" x14ac:dyDescent="0.35">
      <c r="A16" s="1" t="s">
        <v>16</v>
      </c>
      <c r="B16" s="1">
        <v>52</v>
      </c>
      <c r="C16" s="1">
        <v>40</v>
      </c>
      <c r="D16" s="1">
        <v>47</v>
      </c>
      <c r="E16" s="1">
        <v>47</v>
      </c>
      <c r="F16" s="1">
        <v>43</v>
      </c>
      <c r="G16" s="1">
        <f t="shared" si="4"/>
        <v>45.8</v>
      </c>
      <c r="H16" s="1">
        <v>10</v>
      </c>
      <c r="I16" s="1">
        <f t="shared" si="1"/>
        <v>9.9999999999999995E-8</v>
      </c>
      <c r="J16" s="1">
        <v>2000</v>
      </c>
      <c r="K16" s="1">
        <f t="shared" si="9"/>
        <v>916000000000</v>
      </c>
      <c r="L16" s="1">
        <f t="shared" si="10"/>
        <v>916000000</v>
      </c>
    </row>
    <row r="17" spans="1:12" ht="15" customHeight="1" x14ac:dyDescent="0.35">
      <c r="A17" s="1" t="s">
        <v>16</v>
      </c>
      <c r="B17" s="1">
        <v>37</v>
      </c>
      <c r="C17" s="1">
        <v>40</v>
      </c>
      <c r="D17" s="1">
        <v>49</v>
      </c>
      <c r="E17" s="1">
        <v>39</v>
      </c>
      <c r="F17" s="1">
        <v>39</v>
      </c>
      <c r="G17" s="1">
        <f t="shared" si="4"/>
        <v>40.799999999999997</v>
      </c>
      <c r="H17" s="1">
        <v>10</v>
      </c>
      <c r="I17" s="1">
        <f t="shared" si="1"/>
        <v>9.9999999999999995E-8</v>
      </c>
      <c r="J17" s="1">
        <v>2000</v>
      </c>
      <c r="K17" s="1">
        <f t="shared" si="9"/>
        <v>816000000000</v>
      </c>
      <c r="L17" s="1">
        <f t="shared" si="10"/>
        <v>816000000</v>
      </c>
    </row>
    <row r="18" spans="1:12" ht="15" customHeight="1" x14ac:dyDescent="0.35">
      <c r="A18" s="1" t="s">
        <v>16</v>
      </c>
      <c r="B18" s="1">
        <v>46</v>
      </c>
      <c r="C18" s="1">
        <v>46</v>
      </c>
      <c r="D18" s="1">
        <v>48</v>
      </c>
      <c r="E18" s="1">
        <v>35</v>
      </c>
      <c r="F18" s="1">
        <v>54</v>
      </c>
      <c r="G18" s="1">
        <f t="shared" si="4"/>
        <v>45.8</v>
      </c>
      <c r="H18" s="1">
        <v>10</v>
      </c>
      <c r="I18" s="1">
        <f t="shared" si="1"/>
        <v>9.9999999999999995E-8</v>
      </c>
      <c r="J18" s="1">
        <v>2000</v>
      </c>
      <c r="K18" s="1">
        <f t="shared" si="9"/>
        <v>916000000000</v>
      </c>
      <c r="L18" s="1">
        <f t="shared" si="10"/>
        <v>916000000</v>
      </c>
    </row>
    <row r="19" spans="1:12" ht="15" customHeight="1" x14ac:dyDescent="0.35">
      <c r="A19" s="1" t="s">
        <v>16</v>
      </c>
      <c r="B19" s="1">
        <v>56</v>
      </c>
      <c r="C19" s="1">
        <v>41</v>
      </c>
      <c r="D19" s="1">
        <v>38</v>
      </c>
      <c r="E19" s="1">
        <v>47</v>
      </c>
      <c r="F19" s="1">
        <v>38</v>
      </c>
      <c r="G19" s="1">
        <f t="shared" si="4"/>
        <v>44</v>
      </c>
      <c r="H19" s="1">
        <v>10</v>
      </c>
      <c r="I19" s="1">
        <f t="shared" si="1"/>
        <v>9.9999999999999995E-8</v>
      </c>
      <c r="J19" s="1">
        <v>2000</v>
      </c>
      <c r="K19" s="1">
        <f t="shared" si="9"/>
        <v>880000000000</v>
      </c>
      <c r="L19" s="1">
        <f t="shared" si="10"/>
        <v>880000000</v>
      </c>
    </row>
    <row r="20" spans="1:12" ht="15" customHeight="1" x14ac:dyDescent="0.35">
      <c r="A20" s="1" t="s">
        <v>17</v>
      </c>
      <c r="B20" s="1">
        <v>28</v>
      </c>
      <c r="C20" s="1">
        <v>41</v>
      </c>
      <c r="D20" s="1">
        <v>27</v>
      </c>
      <c r="E20" s="1">
        <v>37</v>
      </c>
      <c r="F20" s="1">
        <v>35</v>
      </c>
      <c r="G20" s="1">
        <f t="shared" si="4"/>
        <v>33.6</v>
      </c>
      <c r="H20" s="1">
        <v>10</v>
      </c>
      <c r="I20" s="1">
        <f t="shared" si="1"/>
        <v>9.9999999999999995E-8</v>
      </c>
      <c r="J20" s="1">
        <v>500</v>
      </c>
      <c r="K20" s="1">
        <f t="shared" si="9"/>
        <v>168000000000</v>
      </c>
      <c r="L20" s="1">
        <f t="shared" si="10"/>
        <v>168000000</v>
      </c>
    </row>
    <row r="21" spans="1:12" ht="15" customHeight="1" x14ac:dyDescent="0.35">
      <c r="A21" s="1" t="s">
        <v>17</v>
      </c>
      <c r="B21" s="1">
        <v>40</v>
      </c>
      <c r="C21" s="1">
        <v>24</v>
      </c>
      <c r="D21" s="1">
        <v>21</v>
      </c>
      <c r="E21" s="1">
        <v>32</v>
      </c>
      <c r="F21" s="1">
        <v>38</v>
      </c>
      <c r="G21" s="1">
        <f t="shared" si="4"/>
        <v>31</v>
      </c>
      <c r="H21" s="1">
        <v>10</v>
      </c>
      <c r="I21" s="1">
        <f t="shared" si="1"/>
        <v>9.9999999999999995E-8</v>
      </c>
      <c r="J21" s="1">
        <v>500</v>
      </c>
      <c r="K21" s="1">
        <f t="shared" si="9"/>
        <v>155000000000</v>
      </c>
      <c r="L21" s="1">
        <f t="shared" si="10"/>
        <v>155000000</v>
      </c>
    </row>
    <row r="22" spans="1:12" ht="15" customHeight="1" x14ac:dyDescent="0.35">
      <c r="A22" s="1" t="s">
        <v>17</v>
      </c>
      <c r="B22" s="1">
        <v>28</v>
      </c>
      <c r="C22" s="1">
        <v>36</v>
      </c>
      <c r="D22" s="1">
        <v>36</v>
      </c>
      <c r="E22" s="1">
        <v>35</v>
      </c>
      <c r="F22" s="1">
        <v>24</v>
      </c>
      <c r="G22" s="1">
        <f t="shared" si="4"/>
        <v>31.8</v>
      </c>
      <c r="H22" s="1">
        <v>10</v>
      </c>
      <c r="I22" s="1">
        <f t="shared" si="1"/>
        <v>9.9999999999999995E-8</v>
      </c>
      <c r="J22" s="1">
        <v>500</v>
      </c>
      <c r="K22" s="1">
        <f t="shared" si="9"/>
        <v>159000000000</v>
      </c>
      <c r="L22" s="1">
        <f t="shared" si="10"/>
        <v>159000000</v>
      </c>
    </row>
    <row r="23" spans="1:12" ht="15" customHeight="1" x14ac:dyDescent="0.35">
      <c r="A23" s="1" t="s">
        <v>17</v>
      </c>
      <c r="B23" s="1">
        <v>23</v>
      </c>
      <c r="C23" s="1">
        <v>26</v>
      </c>
      <c r="D23" s="1">
        <v>26</v>
      </c>
      <c r="E23" s="1">
        <v>36</v>
      </c>
      <c r="F23" s="1">
        <v>34</v>
      </c>
      <c r="G23" s="1">
        <f t="shared" si="4"/>
        <v>29</v>
      </c>
      <c r="H23" s="1">
        <v>10</v>
      </c>
      <c r="I23" s="1">
        <f t="shared" si="1"/>
        <v>9.9999999999999995E-8</v>
      </c>
      <c r="J23" s="1">
        <v>500</v>
      </c>
      <c r="K23" s="1">
        <f t="shared" si="9"/>
        <v>145000000000</v>
      </c>
      <c r="L23" s="1">
        <f t="shared" si="10"/>
        <v>145000000</v>
      </c>
    </row>
    <row r="24" spans="1:12" ht="15" customHeight="1" x14ac:dyDescent="0.35">
      <c r="A24" s="1" t="s">
        <v>17</v>
      </c>
      <c r="B24" s="1">
        <v>36</v>
      </c>
      <c r="C24" s="1">
        <v>33</v>
      </c>
      <c r="D24" s="1">
        <v>33</v>
      </c>
      <c r="E24" s="1">
        <v>25</v>
      </c>
      <c r="F24" s="1">
        <v>27</v>
      </c>
      <c r="G24" s="1">
        <f t="shared" si="4"/>
        <v>30.8</v>
      </c>
      <c r="H24" s="1">
        <v>10</v>
      </c>
      <c r="I24" s="1">
        <f t="shared" si="1"/>
        <v>9.9999999999999995E-8</v>
      </c>
      <c r="J24" s="1">
        <v>500</v>
      </c>
      <c r="K24" s="1">
        <f t="shared" si="9"/>
        <v>154000000000</v>
      </c>
      <c r="L24" s="1">
        <f t="shared" si="10"/>
        <v>154000000</v>
      </c>
    </row>
    <row r="25" spans="1:12" ht="15.5" x14ac:dyDescent="0.35">
      <c r="A25" s="1" t="s">
        <v>17</v>
      </c>
      <c r="B25" s="1">
        <v>25</v>
      </c>
      <c r="C25" s="1">
        <v>36</v>
      </c>
      <c r="D25" s="1">
        <v>29</v>
      </c>
      <c r="E25" s="1">
        <v>49</v>
      </c>
      <c r="F25" s="1">
        <v>31</v>
      </c>
      <c r="G25" s="1">
        <f t="shared" si="4"/>
        <v>34</v>
      </c>
      <c r="H25" s="1">
        <v>10</v>
      </c>
      <c r="I25" s="1">
        <f t="shared" si="1"/>
        <v>9.9999999999999995E-8</v>
      </c>
      <c r="J25" s="1">
        <v>500</v>
      </c>
      <c r="K25" s="1">
        <f t="shared" si="9"/>
        <v>170000000000</v>
      </c>
      <c r="L25" s="1">
        <f t="shared" si="10"/>
        <v>170000000</v>
      </c>
    </row>
    <row r="26" spans="1:12" ht="15.5" x14ac:dyDescent="0.35">
      <c r="A26" s="1" t="s">
        <v>43</v>
      </c>
      <c r="B26" s="1">
        <v>55</v>
      </c>
      <c r="C26" s="1">
        <v>41</v>
      </c>
      <c r="D26" s="1">
        <v>56</v>
      </c>
      <c r="E26" s="1">
        <v>39</v>
      </c>
      <c r="F26" s="1">
        <v>46</v>
      </c>
      <c r="G26" s="1">
        <f t="shared" si="4"/>
        <v>47.4</v>
      </c>
      <c r="H26" s="1">
        <v>10</v>
      </c>
      <c r="I26" s="1">
        <f t="shared" si="1"/>
        <v>9.9999999999999995E-8</v>
      </c>
      <c r="J26" s="1">
        <v>2000</v>
      </c>
      <c r="K26" s="1">
        <f t="shared" si="9"/>
        <v>948000000000</v>
      </c>
      <c r="L26" s="1">
        <f t="shared" si="10"/>
        <v>948000000</v>
      </c>
    </row>
    <row r="27" spans="1:12" ht="15.5" x14ac:dyDescent="0.35">
      <c r="A27" s="1" t="s">
        <v>43</v>
      </c>
      <c r="B27" s="1">
        <v>55</v>
      </c>
      <c r="C27" s="1">
        <v>51</v>
      </c>
      <c r="D27" s="1">
        <v>36</v>
      </c>
      <c r="E27" s="1">
        <v>40</v>
      </c>
      <c r="F27" s="1">
        <v>42</v>
      </c>
      <c r="G27" s="1">
        <f t="shared" si="4"/>
        <v>44.8</v>
      </c>
      <c r="H27" s="1">
        <v>10</v>
      </c>
      <c r="I27" s="1">
        <f t="shared" si="1"/>
        <v>9.9999999999999995E-8</v>
      </c>
      <c r="J27" s="1">
        <v>2000</v>
      </c>
      <c r="K27" s="1">
        <f t="shared" si="9"/>
        <v>896000000000</v>
      </c>
      <c r="L27" s="1">
        <f t="shared" si="10"/>
        <v>896000000</v>
      </c>
    </row>
    <row r="28" spans="1:12" ht="15.5" x14ac:dyDescent="0.35">
      <c r="A28" s="1" t="s">
        <v>43</v>
      </c>
      <c r="B28" s="1">
        <v>45</v>
      </c>
      <c r="C28" s="1">
        <v>41</v>
      </c>
      <c r="D28" s="1">
        <v>34</v>
      </c>
      <c r="E28" s="1">
        <v>35</v>
      </c>
      <c r="F28" s="1">
        <v>30</v>
      </c>
      <c r="G28" s="1">
        <f t="shared" si="4"/>
        <v>37</v>
      </c>
      <c r="H28" s="1">
        <v>10</v>
      </c>
      <c r="I28" s="1">
        <f t="shared" si="1"/>
        <v>9.9999999999999995E-8</v>
      </c>
      <c r="J28" s="1">
        <v>2000</v>
      </c>
      <c r="K28" s="1">
        <f t="shared" si="9"/>
        <v>740000000000</v>
      </c>
      <c r="L28" s="1">
        <f t="shared" si="10"/>
        <v>740000000</v>
      </c>
    </row>
    <row r="29" spans="1:12" ht="15.5" x14ac:dyDescent="0.35">
      <c r="A29" s="1" t="s">
        <v>43</v>
      </c>
      <c r="B29" s="1">
        <v>48</v>
      </c>
      <c r="C29" s="1">
        <v>42</v>
      </c>
      <c r="D29" s="1">
        <v>47</v>
      </c>
      <c r="E29" s="1">
        <v>54</v>
      </c>
      <c r="F29" s="1">
        <v>36</v>
      </c>
      <c r="G29" s="1">
        <f t="shared" si="4"/>
        <v>45.4</v>
      </c>
      <c r="H29" s="1">
        <v>10</v>
      </c>
      <c r="I29" s="1">
        <f t="shared" si="1"/>
        <v>9.9999999999999995E-8</v>
      </c>
      <c r="J29" s="1">
        <v>2000</v>
      </c>
      <c r="K29" s="1">
        <f t="shared" si="9"/>
        <v>908000000000</v>
      </c>
      <c r="L29" s="1">
        <f t="shared" si="10"/>
        <v>908000000</v>
      </c>
    </row>
    <row r="30" spans="1:12" ht="15.5" x14ac:dyDescent="0.35">
      <c r="A30" s="1" t="s">
        <v>43</v>
      </c>
      <c r="B30" s="1">
        <v>42</v>
      </c>
      <c r="C30" s="1">
        <v>39</v>
      </c>
      <c r="D30" s="1">
        <v>45</v>
      </c>
      <c r="E30" s="1">
        <v>53</v>
      </c>
      <c r="F30" s="1">
        <v>37</v>
      </c>
      <c r="G30" s="1">
        <f t="shared" si="4"/>
        <v>43.2</v>
      </c>
      <c r="H30" s="1">
        <v>10</v>
      </c>
      <c r="I30" s="1">
        <f t="shared" si="1"/>
        <v>9.9999999999999995E-8</v>
      </c>
      <c r="J30" s="1">
        <v>2000</v>
      </c>
      <c r="K30" s="1">
        <f t="shared" si="9"/>
        <v>864000000000.00012</v>
      </c>
      <c r="L30" s="1">
        <f t="shared" si="10"/>
        <v>864000000.00000012</v>
      </c>
    </row>
    <row r="31" spans="1:12" ht="15.5" x14ac:dyDescent="0.35">
      <c r="A31" s="1" t="s">
        <v>43</v>
      </c>
      <c r="B31" s="1">
        <v>42</v>
      </c>
      <c r="C31" s="1">
        <v>48</v>
      </c>
      <c r="D31" s="1">
        <v>29</v>
      </c>
      <c r="E31" s="1">
        <v>38</v>
      </c>
      <c r="F31" s="1">
        <v>37</v>
      </c>
      <c r="G31" s="1">
        <f t="shared" si="4"/>
        <v>38.799999999999997</v>
      </c>
      <c r="H31" s="1">
        <v>10</v>
      </c>
      <c r="I31" s="1">
        <f t="shared" si="1"/>
        <v>9.9999999999999995E-8</v>
      </c>
      <c r="J31" s="1">
        <v>2000</v>
      </c>
      <c r="K31" s="1">
        <f t="shared" si="9"/>
        <v>776000000000</v>
      </c>
      <c r="L31" s="1">
        <f t="shared" si="10"/>
        <v>776000000</v>
      </c>
    </row>
    <row r="32" spans="1:12" ht="15.5" x14ac:dyDescent="0.35">
      <c r="A32" s="1" t="s">
        <v>44</v>
      </c>
      <c r="B32" s="1">
        <v>46</v>
      </c>
      <c r="C32" s="1">
        <v>45</v>
      </c>
      <c r="D32" s="1">
        <v>39</v>
      </c>
      <c r="E32" s="1">
        <v>45</v>
      </c>
      <c r="F32" s="1">
        <v>38</v>
      </c>
      <c r="G32" s="1">
        <f t="shared" ref="G32:G37" si="11">AVERAGE(B32:F32)</f>
        <v>42.6</v>
      </c>
      <c r="H32" s="1">
        <v>10</v>
      </c>
      <c r="I32" s="1">
        <f t="shared" si="1"/>
        <v>9.9999999999999995E-8</v>
      </c>
      <c r="J32" s="1">
        <v>500</v>
      </c>
      <c r="K32" s="1">
        <f t="shared" si="9"/>
        <v>213000000000.00003</v>
      </c>
      <c r="L32" s="1">
        <f t="shared" si="10"/>
        <v>213000000.00000003</v>
      </c>
    </row>
    <row r="33" spans="1:12" ht="15.5" x14ac:dyDescent="0.35">
      <c r="A33" s="1" t="s">
        <v>44</v>
      </c>
      <c r="B33" s="1">
        <v>49</v>
      </c>
      <c r="C33" s="1">
        <v>41</v>
      </c>
      <c r="D33" s="1">
        <v>34</v>
      </c>
      <c r="E33" s="1">
        <v>32</v>
      </c>
      <c r="F33" s="1">
        <v>41</v>
      </c>
      <c r="G33" s="1">
        <f t="shared" si="11"/>
        <v>39.4</v>
      </c>
      <c r="H33" s="1">
        <v>10</v>
      </c>
      <c r="I33" s="1">
        <f t="shared" si="1"/>
        <v>9.9999999999999995E-8</v>
      </c>
      <c r="J33" s="1">
        <v>500</v>
      </c>
      <c r="K33" s="1">
        <f t="shared" si="9"/>
        <v>197000000000</v>
      </c>
      <c r="L33" s="1">
        <f t="shared" si="10"/>
        <v>197000000</v>
      </c>
    </row>
    <row r="34" spans="1:12" ht="15.5" x14ac:dyDescent="0.35">
      <c r="A34" s="1" t="s">
        <v>44</v>
      </c>
      <c r="B34" s="1">
        <v>24</v>
      </c>
      <c r="C34" s="1">
        <v>47</v>
      </c>
      <c r="D34" s="1">
        <v>38</v>
      </c>
      <c r="E34" s="1">
        <v>38</v>
      </c>
      <c r="F34" s="1">
        <v>38</v>
      </c>
      <c r="G34" s="1">
        <f t="shared" si="11"/>
        <v>37</v>
      </c>
      <c r="H34" s="1">
        <v>10</v>
      </c>
      <c r="I34" s="1">
        <f t="shared" si="1"/>
        <v>9.9999999999999995E-8</v>
      </c>
      <c r="J34" s="1">
        <v>500</v>
      </c>
      <c r="K34" s="1">
        <f t="shared" si="9"/>
        <v>185000000000</v>
      </c>
      <c r="L34" s="1">
        <f t="shared" si="10"/>
        <v>185000000</v>
      </c>
    </row>
    <row r="35" spans="1:12" ht="15.5" x14ac:dyDescent="0.35">
      <c r="A35" s="1" t="s">
        <v>44</v>
      </c>
      <c r="B35" s="1">
        <v>39</v>
      </c>
      <c r="C35" s="1">
        <v>38</v>
      </c>
      <c r="D35" s="1">
        <v>37</v>
      </c>
      <c r="E35" s="1">
        <v>39</v>
      </c>
      <c r="F35" s="1">
        <v>38</v>
      </c>
      <c r="G35" s="1">
        <f t="shared" si="11"/>
        <v>38.200000000000003</v>
      </c>
      <c r="H35" s="1">
        <v>10</v>
      </c>
      <c r="I35" s="1">
        <f t="shared" si="1"/>
        <v>9.9999999999999995E-8</v>
      </c>
      <c r="J35" s="1">
        <v>500</v>
      </c>
      <c r="K35" s="1">
        <f t="shared" si="9"/>
        <v>191000000000.00003</v>
      </c>
      <c r="L35" s="1">
        <f t="shared" si="10"/>
        <v>191000000.00000003</v>
      </c>
    </row>
    <row r="36" spans="1:12" ht="15.5" x14ac:dyDescent="0.35">
      <c r="A36" s="1" t="s">
        <v>44</v>
      </c>
      <c r="B36" s="1">
        <v>30</v>
      </c>
      <c r="C36" s="1">
        <v>35</v>
      </c>
      <c r="D36" s="1">
        <v>34</v>
      </c>
      <c r="E36" s="1">
        <v>41</v>
      </c>
      <c r="F36" s="1">
        <v>46</v>
      </c>
      <c r="G36" s="1">
        <f t="shared" si="11"/>
        <v>37.200000000000003</v>
      </c>
      <c r="H36" s="1">
        <v>10</v>
      </c>
      <c r="I36" s="1">
        <f t="shared" si="1"/>
        <v>9.9999999999999995E-8</v>
      </c>
      <c r="J36" s="1">
        <v>500</v>
      </c>
      <c r="K36" s="1">
        <f t="shared" si="9"/>
        <v>186000000000.00003</v>
      </c>
      <c r="L36" s="1">
        <f t="shared" si="10"/>
        <v>186000000.00000003</v>
      </c>
    </row>
    <row r="37" spans="1:12" ht="15.5" x14ac:dyDescent="0.35">
      <c r="A37" s="1" t="s">
        <v>44</v>
      </c>
      <c r="B37" s="1">
        <v>41</v>
      </c>
      <c r="C37" s="1">
        <v>35</v>
      </c>
      <c r="D37" s="1">
        <v>49</v>
      </c>
      <c r="E37" s="1">
        <v>46</v>
      </c>
      <c r="F37" s="1">
        <v>38</v>
      </c>
      <c r="G37" s="1">
        <f t="shared" si="11"/>
        <v>41.8</v>
      </c>
      <c r="H37" s="1">
        <v>10</v>
      </c>
      <c r="I37" s="1">
        <f t="shared" si="1"/>
        <v>9.9999999999999995E-8</v>
      </c>
      <c r="J37" s="1">
        <v>500</v>
      </c>
      <c r="K37" s="1">
        <f t="shared" si="9"/>
        <v>209000000000</v>
      </c>
      <c r="L37" s="1">
        <f t="shared" si="10"/>
        <v>209000000</v>
      </c>
    </row>
    <row r="38" spans="1:12" ht="15.5" x14ac:dyDescent="0.35"/>
    <row r="39" spans="1:12" ht="15.5" x14ac:dyDescent="0.35"/>
    <row r="40" spans="1:12" ht="15.5" x14ac:dyDescent="0.35"/>
    <row r="41" spans="1:12" ht="15.5" x14ac:dyDescent="0.35"/>
    <row r="42" spans="1:12" ht="15.5" x14ac:dyDescent="0.35"/>
    <row r="43" spans="1:12" ht="15.5" x14ac:dyDescent="0.35"/>
    <row r="44" spans="1:12" ht="15.5" x14ac:dyDescent="0.35"/>
    <row r="45" spans="1:12" ht="15.5" x14ac:dyDescent="0.35"/>
    <row r="46" spans="1:12" ht="15.5" x14ac:dyDescent="0.35"/>
    <row r="47" spans="1:12" ht="15.5" x14ac:dyDescent="0.35"/>
    <row r="48" spans="1:12" ht="15.5" x14ac:dyDescent="0.35"/>
    <row r="49" ht="15.5" x14ac:dyDescent="0.35"/>
    <row r="50" ht="15.5" x14ac:dyDescent="0.35"/>
    <row r="51" ht="15.5" x14ac:dyDescent="0.35"/>
    <row r="52" ht="15.5" x14ac:dyDescent="0.35"/>
    <row r="53" ht="15.5" x14ac:dyDescent="0.35"/>
    <row r="54" ht="15.5" x14ac:dyDescent="0.35"/>
    <row r="55" ht="15.5" x14ac:dyDescent="0.35"/>
    <row r="56" ht="15.5" x14ac:dyDescent="0.35"/>
    <row r="57" ht="15.5" x14ac:dyDescent="0.35"/>
  </sheetData>
  <autoFilter ref="A1:L37" xr:uid="{00000000-0001-0000-02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652C-8116-4A69-B528-7DFBB3E36C30}">
  <sheetPr filterMode="1"/>
  <dimension ref="A1:P46"/>
  <sheetViews>
    <sheetView tabSelected="1" zoomScale="62" workbookViewId="0">
      <selection activeCell="I49" sqref="I49"/>
    </sheetView>
  </sheetViews>
  <sheetFormatPr baseColWidth="10" defaultRowHeight="15.5" x14ac:dyDescent="0.35"/>
  <cols>
    <col min="1" max="1" width="22" style="2" bestFit="1" customWidth="1"/>
    <col min="2" max="2" width="11.25" style="2" bestFit="1" customWidth="1"/>
    <col min="3" max="3" width="12.58203125" style="2" bestFit="1" customWidth="1"/>
    <col min="4" max="4" width="12.83203125" style="2" bestFit="1" customWidth="1"/>
    <col min="5" max="5" width="11" style="2" bestFit="1" customWidth="1"/>
    <col min="6" max="9" width="9.25" style="2" bestFit="1" customWidth="1"/>
    <col min="10" max="10" width="11.25" style="2" bestFit="1" customWidth="1"/>
    <col min="11" max="11" width="10.83203125" style="2" bestFit="1" customWidth="1"/>
    <col min="12" max="12" width="12.33203125" style="2" bestFit="1" customWidth="1"/>
    <col min="13" max="13" width="10.6640625" style="2" bestFit="1" customWidth="1"/>
    <col min="14" max="14" width="12.25" style="2" bestFit="1" customWidth="1"/>
    <col min="15" max="15" width="15.9140625" style="2" bestFit="1" customWidth="1"/>
    <col min="16" max="16" width="19" style="2" bestFit="1" customWidth="1"/>
    <col min="17" max="16384" width="10.6640625" style="2"/>
  </cols>
  <sheetData>
    <row r="1" spans="1:16" x14ac:dyDescent="0.35">
      <c r="A1" s="1" t="s">
        <v>40</v>
      </c>
      <c r="B1" s="1" t="s">
        <v>18</v>
      </c>
      <c r="C1" s="1" t="s">
        <v>19</v>
      </c>
      <c r="D1" s="1" t="s">
        <v>13</v>
      </c>
      <c r="E1" s="1" t="s">
        <v>15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33</v>
      </c>
      <c r="K1" s="1" t="s">
        <v>34</v>
      </c>
      <c r="L1" s="1" t="s">
        <v>35</v>
      </c>
      <c r="M1" s="1" t="s">
        <v>30</v>
      </c>
      <c r="N1" s="1" t="s">
        <v>36</v>
      </c>
      <c r="O1" s="1" t="s">
        <v>32</v>
      </c>
      <c r="P1" s="1" t="s">
        <v>37</v>
      </c>
    </row>
    <row r="2" spans="1:16" x14ac:dyDescent="0.35">
      <c r="A2" s="1" t="s">
        <v>11</v>
      </c>
      <c r="B2" s="5">
        <v>46070</v>
      </c>
      <c r="C2" s="1" t="s">
        <v>41</v>
      </c>
      <c r="D2" s="2">
        <f>3000/100</f>
        <v>30</v>
      </c>
      <c r="E2" s="8">
        <f>1/D2</f>
        <v>3.3333333333333333E-2</v>
      </c>
      <c r="F2" s="2">
        <v>1.409</v>
      </c>
      <c r="G2" s="1" t="s">
        <v>14</v>
      </c>
      <c r="H2" s="1" t="s">
        <v>14</v>
      </c>
      <c r="I2" s="9">
        <f>AVERAGE(F2:H2)</f>
        <v>1.409</v>
      </c>
      <c r="J2" s="1">
        <f>_xlfn.VAR.P(F2:H2)</f>
        <v>0</v>
      </c>
      <c r="K2" s="1">
        <f>SQRT(J2)</f>
        <v>0</v>
      </c>
      <c r="L2" s="1">
        <f>K2/SQRT(COUNT(F2:H2))</f>
        <v>0</v>
      </c>
      <c r="M2" s="4">
        <f>'Concentration algale 2026'!Q$4</f>
        <v>953333333.33333337</v>
      </c>
      <c r="N2" s="4">
        <f>'Concentration algale 2026'!U$4</f>
        <v>10115383.712658705</v>
      </c>
      <c r="O2" s="4">
        <f>M2*E2</f>
        <v>31777777.77777778</v>
      </c>
      <c r="P2" s="4">
        <f>N2*E2</f>
        <v>337179.45708862349</v>
      </c>
    </row>
    <row r="3" spans="1:16" x14ac:dyDescent="0.35">
      <c r="A3" s="1" t="s">
        <v>11</v>
      </c>
      <c r="B3" s="5">
        <v>46070</v>
      </c>
      <c r="C3" s="1" t="s">
        <v>41</v>
      </c>
      <c r="D3" s="2">
        <f>3000/75</f>
        <v>40</v>
      </c>
      <c r="E3" s="8">
        <f>1/D3</f>
        <v>2.5000000000000001E-2</v>
      </c>
      <c r="F3" s="2">
        <v>1.0740000000000001</v>
      </c>
      <c r="G3" s="1">
        <v>1.0740000000000001</v>
      </c>
      <c r="H3" s="1">
        <v>1.0640000000000001</v>
      </c>
      <c r="I3" s="9">
        <f>AVERAGE(F3:H3)</f>
        <v>1.0706666666666667</v>
      </c>
      <c r="J3" s="7">
        <f>_xlfn.VAR.P(F3:H3)</f>
        <v>2.2222222222222264E-5</v>
      </c>
      <c r="K3" s="7">
        <f>SQRT(J3)</f>
        <v>4.7140452079103209E-3</v>
      </c>
      <c r="L3" s="10">
        <f>K3/SQRT(COUNT(F3:H3))</f>
        <v>2.7216552697590891E-3</v>
      </c>
      <c r="M3" s="4">
        <f>'Concentration algale 2026'!Q$4</f>
        <v>953333333.33333337</v>
      </c>
      <c r="N3" s="4">
        <f>'Concentration algale 2026'!U$4</f>
        <v>10115383.712658705</v>
      </c>
      <c r="O3" s="4">
        <f>M3*E3</f>
        <v>23833333.333333336</v>
      </c>
      <c r="P3" s="4">
        <f>N3*E3</f>
        <v>252884.59281646763</v>
      </c>
    </row>
    <row r="4" spans="1:16" x14ac:dyDescent="0.35">
      <c r="A4" s="1" t="s">
        <v>11</v>
      </c>
      <c r="B4" s="5">
        <v>46070</v>
      </c>
      <c r="C4" s="1" t="s">
        <v>41</v>
      </c>
      <c r="D4" s="2">
        <f>3000/50</f>
        <v>60</v>
      </c>
      <c r="E4" s="8">
        <f>1/D4</f>
        <v>1.6666666666666666E-2</v>
      </c>
      <c r="F4" s="2">
        <v>0.753</v>
      </c>
      <c r="G4" s="2">
        <v>0.755</v>
      </c>
      <c r="H4" s="2">
        <v>0.755</v>
      </c>
      <c r="I4" s="9">
        <f>AVERAGE(F4:H4)</f>
        <v>0.7543333333333333</v>
      </c>
      <c r="J4" s="7">
        <f>_xlfn.VAR.P(F4:H4)</f>
        <v>8.8888888888889046E-7</v>
      </c>
      <c r="K4" s="7">
        <f>SQRT(J4)</f>
        <v>9.4280904158206415E-4</v>
      </c>
      <c r="L4" s="10">
        <f>K4/SQRT(COUNT(F4:H4))</f>
        <v>5.4433105395181784E-4</v>
      </c>
      <c r="M4" s="4">
        <f>'Concentration algale 2026'!Q$4</f>
        <v>953333333.33333337</v>
      </c>
      <c r="N4" s="4">
        <f>'Concentration algale 2026'!U$4</f>
        <v>10115383.712658705</v>
      </c>
      <c r="O4" s="4">
        <f>M4*E4</f>
        <v>15888888.88888889</v>
      </c>
      <c r="P4" s="4">
        <f>N4*E4</f>
        <v>168589.72854431174</v>
      </c>
    </row>
    <row r="5" spans="1:16" x14ac:dyDescent="0.35">
      <c r="A5" s="1" t="s">
        <v>11</v>
      </c>
      <c r="B5" s="5">
        <v>46070</v>
      </c>
      <c r="C5" s="1" t="s">
        <v>41</v>
      </c>
      <c r="D5" s="2">
        <f>3000/37.5</f>
        <v>80</v>
      </c>
      <c r="E5" s="8">
        <f>1/D5</f>
        <v>1.2500000000000001E-2</v>
      </c>
      <c r="F5" s="2">
        <v>0.56399999999999995</v>
      </c>
      <c r="G5" s="2">
        <v>0.54800000000000004</v>
      </c>
      <c r="H5" s="2">
        <v>0.54500000000000004</v>
      </c>
      <c r="I5" s="9">
        <f>AVERAGE(F5:H5)</f>
        <v>0.55233333333333334</v>
      </c>
      <c r="J5" s="7">
        <f>_xlfn.VAR.P(F5:H5)</f>
        <v>6.9555555555554814E-5</v>
      </c>
      <c r="K5" s="7">
        <f>SQRT(J5)</f>
        <v>8.3399973354644913E-3</v>
      </c>
      <c r="L5" s="10">
        <f>K5/SQRT(COUNT(F5:H5))</f>
        <v>4.8150997066711857E-3</v>
      </c>
      <c r="M5" s="4">
        <f>'Concentration algale 2026'!Q$4</f>
        <v>953333333.33333337</v>
      </c>
      <c r="N5" s="4">
        <f>'Concentration algale 2026'!U$4</f>
        <v>10115383.712658705</v>
      </c>
      <c r="O5" s="4">
        <f>M5*E5</f>
        <v>11916666.666666668</v>
      </c>
      <c r="P5" s="4">
        <f>N5*E5</f>
        <v>126442.29640823381</v>
      </c>
    </row>
    <row r="6" spans="1:16" x14ac:dyDescent="0.35">
      <c r="A6" s="1" t="s">
        <v>11</v>
      </c>
      <c r="B6" s="5">
        <v>46070</v>
      </c>
      <c r="C6" s="1" t="s">
        <v>41</v>
      </c>
      <c r="D6" s="2">
        <f>3000/25</f>
        <v>120</v>
      </c>
      <c r="E6" s="8">
        <f>1/D6</f>
        <v>8.3333333333333332E-3</v>
      </c>
      <c r="F6" s="2">
        <v>0.38500000000000001</v>
      </c>
      <c r="G6" s="2">
        <v>0.38500000000000001</v>
      </c>
      <c r="H6" s="2">
        <v>0.38900000000000001</v>
      </c>
      <c r="I6" s="9">
        <f>AVERAGE(F6:H6)</f>
        <v>0.38633333333333336</v>
      </c>
      <c r="J6" s="7">
        <f>_xlfn.VAR.P(F6:H6)</f>
        <v>3.5555555555555618E-6</v>
      </c>
      <c r="K6" s="7">
        <f>SQRT(J6)</f>
        <v>1.8856180831641283E-3</v>
      </c>
      <c r="L6" s="10">
        <f>K6/SQRT(COUNT(F6:H6))</f>
        <v>1.0886621079036357E-3</v>
      </c>
      <c r="M6" s="4">
        <f>'Concentration algale 2026'!Q$4</f>
        <v>953333333.33333337</v>
      </c>
      <c r="N6" s="4">
        <f>'Concentration algale 2026'!U$4</f>
        <v>10115383.712658705</v>
      </c>
      <c r="O6" s="4">
        <f>M6*E6</f>
        <v>7944444.444444445</v>
      </c>
      <c r="P6" s="4">
        <f>N6*E6</f>
        <v>84294.864272155872</v>
      </c>
    </row>
    <row r="7" spans="1:16" x14ac:dyDescent="0.35">
      <c r="A7" s="1" t="s">
        <v>11</v>
      </c>
      <c r="B7" s="5">
        <v>46070</v>
      </c>
      <c r="C7" s="1" t="s">
        <v>41</v>
      </c>
      <c r="D7" s="2">
        <f>3000/17.5</f>
        <v>171.42857142857142</v>
      </c>
      <c r="E7" s="8">
        <f>1/D7</f>
        <v>5.8333333333333336E-3</v>
      </c>
      <c r="F7" s="2">
        <v>0.28100000000000003</v>
      </c>
      <c r="G7" s="2">
        <v>0.27400000000000002</v>
      </c>
      <c r="H7" s="2">
        <v>0.27500000000000002</v>
      </c>
      <c r="I7" s="9">
        <f>AVERAGE(F7:H7)</f>
        <v>0.27666666666666667</v>
      </c>
      <c r="J7" s="7">
        <f>_xlfn.VAR.P(F7:H7)</f>
        <v>9.5555555555555717E-6</v>
      </c>
      <c r="K7" s="7">
        <f>SQRT(J7)</f>
        <v>3.0912061651652374E-3</v>
      </c>
      <c r="L7" s="10">
        <f>K7/SQRT(COUNT(F7:H7))</f>
        <v>1.7847087115787806E-3</v>
      </c>
      <c r="M7" s="4">
        <f>'Concentration algale 2026'!Q$4</f>
        <v>953333333.33333337</v>
      </c>
      <c r="N7" s="4">
        <f>'Concentration algale 2026'!U$4</f>
        <v>10115383.712658705</v>
      </c>
      <c r="O7" s="4">
        <f>M7*E7</f>
        <v>5561111.1111111119</v>
      </c>
      <c r="P7" s="4">
        <f>N7*E7</f>
        <v>59006.404990509116</v>
      </c>
    </row>
    <row r="8" spans="1:16" x14ac:dyDescent="0.35">
      <c r="A8" s="1" t="s">
        <v>11</v>
      </c>
      <c r="B8" s="5">
        <v>46070</v>
      </c>
      <c r="C8" s="1" t="s">
        <v>41</v>
      </c>
      <c r="D8" s="2">
        <f>3000/10</f>
        <v>300</v>
      </c>
      <c r="E8" s="8">
        <f>1/D8</f>
        <v>3.3333333333333335E-3</v>
      </c>
      <c r="F8" s="2">
        <v>0.16400000000000001</v>
      </c>
      <c r="G8" s="2">
        <v>0.155</v>
      </c>
      <c r="H8" s="2">
        <v>0.16400000000000001</v>
      </c>
      <c r="I8" s="9">
        <f>AVERAGE(F8:H8)</f>
        <v>0.161</v>
      </c>
      <c r="J8" s="7">
        <f>_xlfn.VAR.P(F8:H8)</f>
        <v>1.8000000000000031E-5</v>
      </c>
      <c r="K8" s="7">
        <f>SQRT(J8)</f>
        <v>4.2426406871192892E-3</v>
      </c>
      <c r="L8" s="10">
        <f>K8/SQRT(COUNT(F8:H8))</f>
        <v>2.4494897427831805E-3</v>
      </c>
      <c r="M8" s="4">
        <f>'Concentration algale 2026'!Q$4</f>
        <v>953333333.33333337</v>
      </c>
      <c r="N8" s="4">
        <f>'Concentration algale 2026'!U$4</f>
        <v>10115383.712658705</v>
      </c>
      <c r="O8" s="4">
        <f>M8*E8</f>
        <v>3177777.777777778</v>
      </c>
      <c r="P8" s="4">
        <f>N8*E8</f>
        <v>33717.945708862353</v>
      </c>
    </row>
    <row r="9" spans="1:16" x14ac:dyDescent="0.35">
      <c r="A9" s="1" t="s">
        <v>11</v>
      </c>
      <c r="B9" s="5">
        <v>46070</v>
      </c>
      <c r="C9" s="1" t="s">
        <v>41</v>
      </c>
      <c r="D9" s="2">
        <f>3000/5</f>
        <v>600</v>
      </c>
      <c r="E9" s="8">
        <f>1/D9</f>
        <v>1.6666666666666668E-3</v>
      </c>
      <c r="F9" s="2">
        <v>8.3000000000000004E-2</v>
      </c>
      <c r="G9" s="2">
        <v>8.5999999999999993E-2</v>
      </c>
      <c r="H9" s="2">
        <v>8.2000000000000003E-2</v>
      </c>
      <c r="I9" s="9">
        <f>AVERAGE(F9:H9)</f>
        <v>8.3666666666666667E-2</v>
      </c>
      <c r="J9" s="7">
        <f>_xlfn.VAR.P(F9:H9)</f>
        <v>2.8888888888888725E-6</v>
      </c>
      <c r="K9" s="7">
        <f>SQRT(J9)</f>
        <v>1.69967317119759E-3</v>
      </c>
      <c r="L9" s="10">
        <f>K9/SQRT(COUNT(F9:H9))</f>
        <v>9.8130676292531357E-4</v>
      </c>
      <c r="M9" s="4">
        <f>'Concentration algale 2026'!Q$4</f>
        <v>953333333.33333337</v>
      </c>
      <c r="N9" s="4">
        <f>'Concentration algale 2026'!U$4</f>
        <v>10115383.712658705</v>
      </c>
      <c r="O9" s="4">
        <f>M9*E9</f>
        <v>1588888.888888889</v>
      </c>
      <c r="P9" s="4">
        <f>N9*E9</f>
        <v>16858.972854431177</v>
      </c>
    </row>
    <row r="10" spans="1:16" hidden="1" x14ac:dyDescent="0.35">
      <c r="A10" s="1" t="s">
        <v>12</v>
      </c>
      <c r="B10" s="5">
        <v>46070</v>
      </c>
      <c r="C10" s="1" t="s">
        <v>42</v>
      </c>
      <c r="D10" s="2">
        <f>3000/300</f>
        <v>10</v>
      </c>
      <c r="E10" s="8">
        <f>1/D10</f>
        <v>0.1</v>
      </c>
      <c r="F10" s="2">
        <v>1.1779999999999999</v>
      </c>
      <c r="G10" s="2">
        <v>1.179</v>
      </c>
      <c r="H10" s="2">
        <v>1.1839999999999999</v>
      </c>
      <c r="I10" s="9">
        <f>AVERAGE(F10:H10)</f>
        <v>1.1803333333333335</v>
      </c>
      <c r="J10" s="7">
        <f>_xlfn.VAR.P(F10:H10)</f>
        <v>6.8888888888888033E-6</v>
      </c>
      <c r="K10" s="7">
        <f>SQRT(J10)</f>
        <v>2.6246692913372538E-3</v>
      </c>
      <c r="L10" s="10">
        <f>K10/SQRT(COUNT(F10:H10))</f>
        <v>1.515353521887308E-3</v>
      </c>
      <c r="M10" s="4">
        <f>'Concentration algale 2026'!Q$5</f>
        <v>150166666.66666666</v>
      </c>
      <c r="N10" s="4">
        <f>'Concentration algale 2026'!U$5</f>
        <v>3504516.4862601422</v>
      </c>
      <c r="O10" s="4">
        <f>M10*E10</f>
        <v>15016666.666666666</v>
      </c>
      <c r="P10" s="4">
        <f>N10*E10</f>
        <v>350451.64862601424</v>
      </c>
    </row>
    <row r="11" spans="1:16" hidden="1" x14ac:dyDescent="0.35">
      <c r="A11" s="1" t="s">
        <v>12</v>
      </c>
      <c r="B11" s="5">
        <v>46070</v>
      </c>
      <c r="C11" s="1" t="s">
        <v>42</v>
      </c>
      <c r="D11" s="2">
        <f>3000/250</f>
        <v>12</v>
      </c>
      <c r="E11" s="8">
        <f>1/D11</f>
        <v>8.3333333333333329E-2</v>
      </c>
      <c r="F11" s="2">
        <f>1.028</f>
        <v>1.028</v>
      </c>
      <c r="G11" s="2">
        <v>0.99399999999999999</v>
      </c>
      <c r="H11" s="2">
        <v>1.002</v>
      </c>
      <c r="I11" s="9">
        <f>AVERAGE(F11:H11)</f>
        <v>1.008</v>
      </c>
      <c r="J11" s="7">
        <f>_xlfn.VAR.P(F11:H11)</f>
        <v>2.1066666666666703E-4</v>
      </c>
      <c r="K11" s="7">
        <f>SQRT(J11)</f>
        <v>1.4514360704718173E-2</v>
      </c>
      <c r="L11" s="10">
        <f>K11/SQRT(COUNT(F11:H11))</f>
        <v>8.379870059984364E-3</v>
      </c>
      <c r="M11" s="4">
        <f>'Concentration algale 2026'!Q$5</f>
        <v>150166666.66666666</v>
      </c>
      <c r="N11" s="4">
        <f>'Concentration algale 2026'!U$5</f>
        <v>3504516.4862601422</v>
      </c>
      <c r="O11" s="4">
        <f>M11*E11</f>
        <v>12513888.888888888</v>
      </c>
      <c r="P11" s="4">
        <f>N11*E11</f>
        <v>292043.04052167851</v>
      </c>
    </row>
    <row r="12" spans="1:16" hidden="1" x14ac:dyDescent="0.35">
      <c r="A12" s="1" t="s">
        <v>12</v>
      </c>
      <c r="B12" s="5">
        <v>46070</v>
      </c>
      <c r="C12" s="1" t="s">
        <v>42</v>
      </c>
      <c r="D12" s="2">
        <f>3000/200</f>
        <v>15</v>
      </c>
      <c r="E12" s="8">
        <f>1/D12</f>
        <v>6.6666666666666666E-2</v>
      </c>
      <c r="F12" s="2">
        <v>0.82099999999999995</v>
      </c>
      <c r="G12" s="2">
        <v>0.77400000000000002</v>
      </c>
      <c r="H12" s="2">
        <v>0.76300000000000001</v>
      </c>
      <c r="I12" s="9">
        <f>AVERAGE(F12:H12)</f>
        <v>0.78600000000000003</v>
      </c>
      <c r="J12" s="7">
        <f>_xlfn.VAR.P(F12:H12)</f>
        <v>6.3266666666666517E-4</v>
      </c>
      <c r="K12" s="7">
        <f>SQRT(J12)</f>
        <v>2.5152865973217947E-2</v>
      </c>
      <c r="L12" s="10">
        <f>K12/SQRT(COUNT(F12:H12))</f>
        <v>1.4522013940527961E-2</v>
      </c>
      <c r="M12" s="4">
        <f>'Concentration algale 2026'!Q$5</f>
        <v>150166666.66666666</v>
      </c>
      <c r="N12" s="4">
        <f>'Concentration algale 2026'!U$5</f>
        <v>3504516.4862601422</v>
      </c>
      <c r="O12" s="4">
        <f>M12*E12</f>
        <v>10011111.11111111</v>
      </c>
      <c r="P12" s="4">
        <f>N12*E12</f>
        <v>233634.43241734282</v>
      </c>
    </row>
    <row r="13" spans="1:16" hidden="1" x14ac:dyDescent="0.35">
      <c r="A13" s="1" t="s">
        <v>12</v>
      </c>
      <c r="B13" s="5">
        <v>46070</v>
      </c>
      <c r="C13" s="1" t="s">
        <v>42</v>
      </c>
      <c r="D13" s="2">
        <f>3000/150</f>
        <v>20</v>
      </c>
      <c r="E13" s="8">
        <f>1/D13</f>
        <v>0.05</v>
      </c>
      <c r="F13" s="2">
        <v>0.68100000000000005</v>
      </c>
      <c r="G13" s="2">
        <v>0.63400000000000001</v>
      </c>
      <c r="H13" s="2">
        <v>0.60899999999999999</v>
      </c>
      <c r="I13" s="9">
        <f>AVERAGE(F13:H13)</f>
        <v>0.64133333333333331</v>
      </c>
      <c r="J13" s="7">
        <f>_xlfn.VAR.P(F13:H13)</f>
        <v>8.9088888888889039E-4</v>
      </c>
      <c r="K13" s="7">
        <f>SQRT(J13)</f>
        <v>2.9847761874031532E-2</v>
      </c>
      <c r="L13" s="10">
        <f>K13/SQRT(COUNT(F13:H13))</f>
        <v>1.7232613352679955E-2</v>
      </c>
      <c r="M13" s="4">
        <f>'Concentration algale 2026'!Q$5</f>
        <v>150166666.66666666</v>
      </c>
      <c r="N13" s="4">
        <f>'Concentration algale 2026'!U$5</f>
        <v>3504516.4862601422</v>
      </c>
      <c r="O13" s="4">
        <f>M13*E13</f>
        <v>7508333.333333333</v>
      </c>
      <c r="P13" s="4">
        <f>N13*E13</f>
        <v>175225.82431300712</v>
      </c>
    </row>
    <row r="14" spans="1:16" hidden="1" x14ac:dyDescent="0.35">
      <c r="A14" s="1" t="s">
        <v>12</v>
      </c>
      <c r="B14" s="5">
        <v>46070</v>
      </c>
      <c r="C14" s="1" t="s">
        <v>42</v>
      </c>
      <c r="D14" s="2">
        <f>3000/100</f>
        <v>30</v>
      </c>
      <c r="E14" s="8">
        <f>1/D14</f>
        <v>3.3333333333333333E-2</v>
      </c>
      <c r="F14" s="2">
        <v>0.434</v>
      </c>
      <c r="G14" s="2">
        <v>0.44400000000000001</v>
      </c>
      <c r="H14" s="2">
        <v>0.44600000000000001</v>
      </c>
      <c r="I14" s="9">
        <f>AVERAGE(F14:H14)</f>
        <v>0.44133333333333336</v>
      </c>
      <c r="J14" s="7">
        <f>_xlfn.VAR.P(F14:H14)</f>
        <v>2.7555555555555606E-5</v>
      </c>
      <c r="K14" s="7">
        <f>SQRT(J14)</f>
        <v>5.2493385826745459E-3</v>
      </c>
      <c r="L14" s="10">
        <f>K14/SQRT(COUNT(F14:H14))</f>
        <v>3.0307070437746377E-3</v>
      </c>
      <c r="M14" s="4">
        <f>'Concentration algale 2026'!Q$5</f>
        <v>150166666.66666666</v>
      </c>
      <c r="N14" s="4">
        <f>'Concentration algale 2026'!U$5</f>
        <v>3504516.4862601422</v>
      </c>
      <c r="O14" s="4">
        <f>M14*E14</f>
        <v>5005555.555555555</v>
      </c>
      <c r="P14" s="4">
        <f>N14*E14</f>
        <v>116817.21620867141</v>
      </c>
    </row>
    <row r="15" spans="1:16" hidden="1" x14ac:dyDescent="0.35">
      <c r="A15" s="1" t="s">
        <v>12</v>
      </c>
      <c r="B15" s="5">
        <v>46070</v>
      </c>
      <c r="C15" s="1" t="s">
        <v>42</v>
      </c>
      <c r="D15" s="2">
        <f>3000/50</f>
        <v>60</v>
      </c>
      <c r="E15" s="8">
        <f>1/D15</f>
        <v>1.6666666666666666E-2</v>
      </c>
      <c r="F15" s="2">
        <v>0.216</v>
      </c>
      <c r="G15" s="2">
        <v>0.221</v>
      </c>
      <c r="H15" s="2">
        <v>0.22</v>
      </c>
      <c r="I15" s="9">
        <f>AVERAGE(F15:H15)</f>
        <v>0.219</v>
      </c>
      <c r="J15" s="7">
        <f>_xlfn.VAR.P(F15:H15)</f>
        <v>4.6666666666666748E-6</v>
      </c>
      <c r="K15" s="7">
        <f>SQRT(J15)</f>
        <v>2.1602468994692888E-3</v>
      </c>
      <c r="L15" s="10">
        <f>K15/SQRT(COUNT(F15:H15))</f>
        <v>1.2472191289246484E-3</v>
      </c>
      <c r="M15" s="4">
        <f>'Concentration algale 2026'!Q$5</f>
        <v>150166666.66666666</v>
      </c>
      <c r="N15" s="4">
        <f>'Concentration algale 2026'!U$5</f>
        <v>3504516.4862601422</v>
      </c>
      <c r="O15" s="4">
        <f>M15*E15</f>
        <v>2502777.7777777775</v>
      </c>
      <c r="P15" s="4">
        <f>N15*E15</f>
        <v>58408.608104335704</v>
      </c>
    </row>
    <row r="16" spans="1:16" hidden="1" x14ac:dyDescent="0.35">
      <c r="A16" s="1" t="s">
        <v>12</v>
      </c>
      <c r="B16" s="5">
        <v>46070</v>
      </c>
      <c r="C16" s="1" t="s">
        <v>42</v>
      </c>
      <c r="D16" s="2">
        <f>3000/25</f>
        <v>120</v>
      </c>
      <c r="E16" s="8">
        <f>1/D16</f>
        <v>8.3333333333333332E-3</v>
      </c>
      <c r="F16" s="2">
        <v>0.111</v>
      </c>
      <c r="G16" s="2">
        <v>0.115</v>
      </c>
      <c r="H16" s="2">
        <v>0.111</v>
      </c>
      <c r="I16" s="9">
        <f>AVERAGE(F16:H16)</f>
        <v>0.11233333333333334</v>
      </c>
      <c r="J16" s="7">
        <f>_xlfn.VAR.P(F16:H16)</f>
        <v>3.5555555555555614E-6</v>
      </c>
      <c r="K16" s="7">
        <f>SQRT(J16)</f>
        <v>1.8856180831641283E-3</v>
      </c>
      <c r="L16" s="10">
        <f>K16/SQRT(COUNT(F16:H16))</f>
        <v>1.0886621079036357E-3</v>
      </c>
      <c r="M16" s="4">
        <f>'Concentration algale 2026'!Q$5</f>
        <v>150166666.66666666</v>
      </c>
      <c r="N16" s="4">
        <f>'Concentration algale 2026'!U$5</f>
        <v>3504516.4862601422</v>
      </c>
      <c r="O16" s="4">
        <f>M16*E16</f>
        <v>1251388.8888888888</v>
      </c>
      <c r="P16" s="4">
        <f>N16*E16</f>
        <v>29204.304052167852</v>
      </c>
    </row>
    <row r="17" spans="1:16" x14ac:dyDescent="0.35">
      <c r="A17" s="1" t="s">
        <v>16</v>
      </c>
      <c r="B17" s="5">
        <v>46077</v>
      </c>
      <c r="C17" s="1" t="s">
        <v>41</v>
      </c>
      <c r="D17" s="2">
        <f>3000/100</f>
        <v>30</v>
      </c>
      <c r="E17" s="8">
        <f>1/D17</f>
        <v>3.3333333333333333E-2</v>
      </c>
      <c r="F17" s="2">
        <v>1.4059999999999999</v>
      </c>
      <c r="G17" s="2">
        <v>1.377</v>
      </c>
      <c r="H17" s="2">
        <v>1.37</v>
      </c>
      <c r="I17" s="8">
        <f>AVERAGE(F17:H17)</f>
        <v>1.3843333333333334</v>
      </c>
      <c r="J17" s="7">
        <f>_xlfn.VAR.P(F17:H17)</f>
        <v>2.4288888888888667E-4</v>
      </c>
      <c r="K17" s="7">
        <f>SQRT(J17)</f>
        <v>1.5584892970081209E-2</v>
      </c>
      <c r="L17" s="10">
        <f>K17/SQRT(COUNT(F17:H17))</f>
        <v>8.9979421515678937E-3</v>
      </c>
      <c r="M17" s="4">
        <f>'Concentration algale 2026'!Q$6</f>
        <v>886000000</v>
      </c>
      <c r="N17" s="4">
        <f>'Concentration algale 2026'!U$6</f>
        <v>5640462.2873320254</v>
      </c>
      <c r="O17" s="4">
        <f>M17*E17</f>
        <v>29533333.333333332</v>
      </c>
      <c r="P17" s="4">
        <f>N17*E17</f>
        <v>188015.40957773419</v>
      </c>
    </row>
    <row r="18" spans="1:16" x14ac:dyDescent="0.35">
      <c r="A18" s="1" t="s">
        <v>16</v>
      </c>
      <c r="B18" s="5">
        <v>46077</v>
      </c>
      <c r="C18" s="1" t="s">
        <v>41</v>
      </c>
      <c r="D18" s="2">
        <f>3000/75</f>
        <v>40</v>
      </c>
      <c r="E18" s="8">
        <f>1/D18</f>
        <v>2.5000000000000001E-2</v>
      </c>
      <c r="F18" s="2">
        <v>1.0609999999999999</v>
      </c>
      <c r="G18" s="2">
        <v>1.032</v>
      </c>
      <c r="H18" s="2">
        <v>1.0509999999999999</v>
      </c>
      <c r="I18" s="8">
        <f>AVERAGE(F18:H18)</f>
        <v>1.048</v>
      </c>
      <c r="J18" s="7">
        <f>_xlfn.VAR.P(F18:H18)</f>
        <v>1.4466666666666575E-4</v>
      </c>
      <c r="K18" s="7">
        <f>SQRT(J18)</f>
        <v>1.2027745701779105E-2</v>
      </c>
      <c r="L18" s="10">
        <f>K18/SQRT(COUNT(F18:H18))</f>
        <v>6.944222218666531E-3</v>
      </c>
      <c r="M18" s="4">
        <f>'Concentration algale 2026'!Q$6</f>
        <v>886000000</v>
      </c>
      <c r="N18" s="4">
        <f>'Concentration algale 2026'!U$6</f>
        <v>5640462.2873320254</v>
      </c>
      <c r="O18" s="4">
        <f>M18*E18</f>
        <v>22150000</v>
      </c>
      <c r="P18" s="4">
        <f>N18*E18</f>
        <v>141011.55718330064</v>
      </c>
    </row>
    <row r="19" spans="1:16" x14ac:dyDescent="0.35">
      <c r="A19" s="1" t="s">
        <v>16</v>
      </c>
      <c r="B19" s="5">
        <v>46077</v>
      </c>
      <c r="C19" s="1" t="s">
        <v>41</v>
      </c>
      <c r="D19" s="2">
        <f>3000/50</f>
        <v>60</v>
      </c>
      <c r="E19" s="8">
        <f>1/D19</f>
        <v>1.6666666666666666E-2</v>
      </c>
      <c r="F19" s="2">
        <v>0.73699999999999999</v>
      </c>
      <c r="G19" s="2">
        <v>0.73199999999999998</v>
      </c>
      <c r="H19" s="2">
        <v>0.72</v>
      </c>
      <c r="I19" s="8">
        <f>AVERAGE(F19:H19)</f>
        <v>0.72966666666666669</v>
      </c>
      <c r="J19" s="7">
        <f>_xlfn.VAR.P(F19:H19)</f>
        <v>5.0888888888888979E-5</v>
      </c>
      <c r="K19" s="7">
        <f>SQRT(J19)</f>
        <v>7.1336448530109056E-3</v>
      </c>
      <c r="L19" s="10">
        <f>K19/SQRT(COUNT(F19:H19))</f>
        <v>4.1186117761890352E-3</v>
      </c>
      <c r="M19" s="4">
        <f>'Concentration algale 2026'!Q$6</f>
        <v>886000000</v>
      </c>
      <c r="N19" s="4">
        <f>'Concentration algale 2026'!U$6</f>
        <v>5640462.2873320254</v>
      </c>
      <c r="O19" s="4">
        <f>M19*E19</f>
        <v>14766666.666666666</v>
      </c>
      <c r="P19" s="4">
        <f>N19*E19</f>
        <v>94007.704788867093</v>
      </c>
    </row>
    <row r="20" spans="1:16" x14ac:dyDescent="0.35">
      <c r="A20" s="1" t="s">
        <v>16</v>
      </c>
      <c r="B20" s="5">
        <v>46077</v>
      </c>
      <c r="C20" s="1" t="s">
        <v>41</v>
      </c>
      <c r="D20" s="2">
        <f>3000/37.5</f>
        <v>80</v>
      </c>
      <c r="E20" s="8">
        <f>1/D20</f>
        <v>1.2500000000000001E-2</v>
      </c>
      <c r="F20" s="2">
        <v>0.55800000000000005</v>
      </c>
      <c r="G20" s="2">
        <v>0.5</v>
      </c>
      <c r="H20" s="2">
        <v>0.502</v>
      </c>
      <c r="I20" s="8">
        <f>AVERAGE(F20:H20)</f>
        <v>0.52</v>
      </c>
      <c r="J20" s="7">
        <f>_xlfn.VAR.P(F20:H20)</f>
        <v>7.226666666666679E-4</v>
      </c>
      <c r="K20" s="7">
        <f>SQRT(J20)</f>
        <v>2.6882460204874625E-2</v>
      </c>
      <c r="L20" s="10">
        <f>K20/SQRT(COUNT(F20:H20))</f>
        <v>1.5520595635763768E-2</v>
      </c>
      <c r="M20" s="4">
        <f>'Concentration algale 2026'!Q$6</f>
        <v>886000000</v>
      </c>
      <c r="N20" s="4">
        <f>'Concentration algale 2026'!U$6</f>
        <v>5640462.2873320254</v>
      </c>
      <c r="O20" s="4">
        <f>M20*E20</f>
        <v>11075000</v>
      </c>
      <c r="P20" s="4">
        <f>N20*E20</f>
        <v>70505.77859165032</v>
      </c>
    </row>
    <row r="21" spans="1:16" x14ac:dyDescent="0.35">
      <c r="A21" s="1" t="s">
        <v>16</v>
      </c>
      <c r="B21" s="5">
        <v>46077</v>
      </c>
      <c r="C21" s="1" t="s">
        <v>41</v>
      </c>
      <c r="D21" s="2">
        <f>3000/25</f>
        <v>120</v>
      </c>
      <c r="E21" s="8">
        <f>1/D21</f>
        <v>8.3333333333333332E-3</v>
      </c>
      <c r="F21" s="2">
        <v>0.377</v>
      </c>
      <c r="G21" s="2">
        <v>0.33</v>
      </c>
      <c r="H21" s="2">
        <v>0.36099999999999999</v>
      </c>
      <c r="I21" s="8">
        <f>AVERAGE(F21:H21)</f>
        <v>0.35600000000000004</v>
      </c>
      <c r="J21" s="7">
        <f>_xlfn.VAR.P(F21:H21)</f>
        <v>3.8066666666666636E-4</v>
      </c>
      <c r="K21" s="7">
        <f>SQRT(J21)</f>
        <v>1.9510680835549188E-2</v>
      </c>
      <c r="L21" s="10">
        <f>K21/SQRT(COUNT(F21:H21))</f>
        <v>1.1264496832477197E-2</v>
      </c>
      <c r="M21" s="4">
        <f>'Concentration algale 2026'!Q$6</f>
        <v>886000000</v>
      </c>
      <c r="N21" s="4">
        <f>'Concentration algale 2026'!U$6</f>
        <v>5640462.2873320254</v>
      </c>
      <c r="O21" s="4">
        <f>M21*E21</f>
        <v>7383333.333333333</v>
      </c>
      <c r="P21" s="4">
        <f>N21*E21</f>
        <v>47003.852394433547</v>
      </c>
    </row>
    <row r="22" spans="1:16" x14ac:dyDescent="0.35">
      <c r="A22" s="1" t="s">
        <v>16</v>
      </c>
      <c r="B22" s="5">
        <v>46077</v>
      </c>
      <c r="C22" s="1" t="s">
        <v>41</v>
      </c>
      <c r="D22" s="2">
        <f>3000/17.5</f>
        <v>171.42857142857142</v>
      </c>
      <c r="E22" s="8">
        <f>1/D22</f>
        <v>5.8333333333333336E-3</v>
      </c>
      <c r="F22" s="2">
        <v>0.27100000000000002</v>
      </c>
      <c r="G22" s="2">
        <v>0.26100000000000001</v>
      </c>
      <c r="H22" s="2">
        <v>0.26400000000000001</v>
      </c>
      <c r="I22" s="8">
        <f>AVERAGE(F22:H22)</f>
        <v>0.26533333333333337</v>
      </c>
      <c r="J22" s="7">
        <f>_xlfn.VAR.P(F22:H22)</f>
        <v>1.7555555555555587E-5</v>
      </c>
      <c r="K22" s="7">
        <f>SQRT(J22)</f>
        <v>4.189935029992182E-3</v>
      </c>
      <c r="L22" s="10">
        <f>K22/SQRT(COUNT(F22:H22))</f>
        <v>2.4190601174530293E-3</v>
      </c>
      <c r="M22" s="4">
        <f>'Concentration algale 2026'!Q$6</f>
        <v>886000000</v>
      </c>
      <c r="N22" s="4">
        <f>'Concentration algale 2026'!U$6</f>
        <v>5640462.2873320254</v>
      </c>
      <c r="O22" s="4">
        <f>M22*E22</f>
        <v>5168333.333333334</v>
      </c>
      <c r="P22" s="4">
        <f>N22*E22</f>
        <v>32902.696676103486</v>
      </c>
    </row>
    <row r="23" spans="1:16" x14ac:dyDescent="0.35">
      <c r="A23" s="1" t="s">
        <v>16</v>
      </c>
      <c r="B23" s="5">
        <v>46077</v>
      </c>
      <c r="C23" s="1" t="s">
        <v>41</v>
      </c>
      <c r="D23" s="2">
        <f>3000/10</f>
        <v>300</v>
      </c>
      <c r="E23" s="8">
        <f>1/D23</f>
        <v>3.3333333333333335E-3</v>
      </c>
      <c r="F23" s="2">
        <v>0.126</v>
      </c>
      <c r="G23" s="2">
        <v>0.183</v>
      </c>
      <c r="H23" s="2">
        <v>0.157</v>
      </c>
      <c r="I23" s="8">
        <f>AVERAGE(F23:H23)</f>
        <v>0.15533333333333332</v>
      </c>
      <c r="J23" s="7">
        <f>_xlfn.VAR.P(F23:H23)</f>
        <v>5.4288888888889212E-4</v>
      </c>
      <c r="K23" s="7">
        <f>SQRT(J23)</f>
        <v>2.3299976156401794E-2</v>
      </c>
      <c r="L23" s="10">
        <f>K23/SQRT(COUNT(F23:H23))</f>
        <v>1.3452247506010439E-2</v>
      </c>
      <c r="M23" s="4">
        <f>'Concentration algale 2026'!Q$6</f>
        <v>886000000</v>
      </c>
      <c r="N23" s="4">
        <f>'Concentration algale 2026'!U$6</f>
        <v>5640462.2873320254</v>
      </c>
      <c r="O23" s="4">
        <f>M23*E23</f>
        <v>2953333.3333333335</v>
      </c>
      <c r="P23" s="4">
        <f>N23*E23</f>
        <v>18801.540957773421</v>
      </c>
    </row>
    <row r="24" spans="1:16" x14ac:dyDescent="0.35">
      <c r="A24" s="1" t="s">
        <v>16</v>
      </c>
      <c r="B24" s="5">
        <v>46077</v>
      </c>
      <c r="C24" s="1" t="s">
        <v>41</v>
      </c>
      <c r="D24" s="2">
        <f>3000/5</f>
        <v>600</v>
      </c>
      <c r="E24" s="8">
        <f>1/D24</f>
        <v>1.6666666666666668E-3</v>
      </c>
      <c r="F24" s="2">
        <v>9.5000000000000001E-2</v>
      </c>
      <c r="G24" s="2">
        <v>8.3000000000000004E-2</v>
      </c>
      <c r="H24" s="2">
        <v>7.3999999999999996E-2</v>
      </c>
      <c r="I24" s="8">
        <f>AVERAGE(F24:H24)</f>
        <v>8.4000000000000005E-2</v>
      </c>
      <c r="J24" s="7">
        <f>_xlfn.VAR.P(F24:H24)</f>
        <v>7.4000000000000023E-5</v>
      </c>
      <c r="K24" s="7">
        <f>SQRT(J24)</f>
        <v>8.6023252670426285E-3</v>
      </c>
      <c r="L24" s="10">
        <f>K24/SQRT(COUNT(F24:H24))</f>
        <v>4.9665548085837813E-3</v>
      </c>
      <c r="M24" s="4">
        <f>'Concentration algale 2026'!Q$6</f>
        <v>886000000</v>
      </c>
      <c r="N24" s="4">
        <f>'Concentration algale 2026'!U$6</f>
        <v>5640462.2873320254</v>
      </c>
      <c r="O24" s="4">
        <f>M24*E24</f>
        <v>1476666.6666666667</v>
      </c>
      <c r="P24" s="4">
        <f>N24*E24</f>
        <v>9400.7704788867104</v>
      </c>
    </row>
    <row r="25" spans="1:16" hidden="1" x14ac:dyDescent="0.35">
      <c r="A25" s="1" t="s">
        <v>17</v>
      </c>
      <c r="B25" s="5">
        <v>46077</v>
      </c>
      <c r="C25" s="1" t="s">
        <v>42</v>
      </c>
      <c r="D25" s="2">
        <f>3000/300</f>
        <v>10</v>
      </c>
      <c r="E25" s="8">
        <f>1/D25</f>
        <v>0.1</v>
      </c>
      <c r="F25" s="2">
        <v>1.24</v>
      </c>
      <c r="G25" s="2">
        <v>1.1910000000000001</v>
      </c>
      <c r="H25" s="2">
        <v>1.196</v>
      </c>
      <c r="I25" s="8">
        <f>AVERAGE(F25:H25)</f>
        <v>1.2089999999999999</v>
      </c>
      <c r="J25" s="7">
        <f>_xlfn.VAR.P(F25:H25)</f>
        <v>4.8466666666666623E-4</v>
      </c>
      <c r="K25" s="7">
        <f>SQRT(J25)</f>
        <v>2.2015146301277815E-2</v>
      </c>
      <c r="L25" s="10">
        <f>K25/SQRT(COUNT(F25:H25))</f>
        <v>1.2710450643291741E-2</v>
      </c>
      <c r="M25" s="4">
        <f>'Concentration algale 2026'!Q$7</f>
        <v>158500000</v>
      </c>
      <c r="N25" s="4">
        <f>'Concentration algale 2026'!U$7</f>
        <v>1423187.6063832778</v>
      </c>
      <c r="O25" s="4">
        <f>M25*E25</f>
        <v>15850000</v>
      </c>
      <c r="P25" s="4">
        <f>N25*E25</f>
        <v>142318.76063832777</v>
      </c>
    </row>
    <row r="26" spans="1:16" hidden="1" x14ac:dyDescent="0.35">
      <c r="A26" s="1" t="s">
        <v>17</v>
      </c>
      <c r="B26" s="5">
        <v>46077</v>
      </c>
      <c r="C26" s="1" t="s">
        <v>42</v>
      </c>
      <c r="D26" s="2">
        <f>3000/250</f>
        <v>12</v>
      </c>
      <c r="E26" s="8">
        <f>1/D26</f>
        <v>8.3333333333333329E-2</v>
      </c>
      <c r="F26" s="2">
        <f>1.019</f>
        <v>1.0189999999999999</v>
      </c>
      <c r="G26" s="2">
        <v>1.0640000000000001</v>
      </c>
      <c r="H26" s="2">
        <v>1.0509999999999999</v>
      </c>
      <c r="I26" s="8">
        <f>AVERAGE(F26:H26)</f>
        <v>1.0446666666666669</v>
      </c>
      <c r="J26" s="7">
        <f>_xlfn.VAR.P(F26:H26)</f>
        <v>3.5755555555555763E-4</v>
      </c>
      <c r="K26" s="7">
        <f>SQRT(J26)</f>
        <v>1.8909139471577168E-2</v>
      </c>
      <c r="L26" s="10">
        <f>K26/SQRT(COUNT(F26:H26))</f>
        <v>1.0917196764059257E-2</v>
      </c>
      <c r="M26" s="4">
        <f>'Concentration algale 2026'!Q$7</f>
        <v>158500000</v>
      </c>
      <c r="N26" s="4">
        <f>'Concentration algale 2026'!U$7</f>
        <v>1423187.6063832778</v>
      </c>
      <c r="O26" s="4">
        <f>M26*E26</f>
        <v>13208333.333333332</v>
      </c>
      <c r="P26" s="4">
        <f>N26*E26</f>
        <v>118598.96719860648</v>
      </c>
    </row>
    <row r="27" spans="1:16" hidden="1" x14ac:dyDescent="0.35">
      <c r="A27" s="1" t="s">
        <v>17</v>
      </c>
      <c r="B27" s="5">
        <v>46077</v>
      </c>
      <c r="C27" s="1" t="s">
        <v>42</v>
      </c>
      <c r="D27" s="2">
        <f>3000/200</f>
        <v>15</v>
      </c>
      <c r="E27" s="8">
        <f>1/D27</f>
        <v>6.6666666666666666E-2</v>
      </c>
      <c r="F27" s="2">
        <v>0.86</v>
      </c>
      <c r="G27" s="2">
        <v>0.86499999999999999</v>
      </c>
      <c r="H27" s="2">
        <v>0.871</v>
      </c>
      <c r="I27" s="8">
        <f>AVERAGE(F27:H27)</f>
        <v>0.8653333333333334</v>
      </c>
      <c r="J27" s="7">
        <f>_xlfn.VAR.P(F27:H27)</f>
        <v>2.0222222222222256E-5</v>
      </c>
      <c r="K27" s="7">
        <f>SQRT(J27)</f>
        <v>4.496912521077351E-3</v>
      </c>
      <c r="L27" s="10">
        <f>K27/SQRT(COUNT(F27:H27))</f>
        <v>2.5962936545662076E-3</v>
      </c>
      <c r="M27" s="4">
        <f>'Concentration algale 2026'!Q$7</f>
        <v>158500000</v>
      </c>
      <c r="N27" s="4">
        <f>'Concentration algale 2026'!U$7</f>
        <v>1423187.6063832778</v>
      </c>
      <c r="O27" s="4">
        <f>M27*E27</f>
        <v>10566666.666666666</v>
      </c>
      <c r="P27" s="4">
        <f>N27*E27</f>
        <v>94879.173758885183</v>
      </c>
    </row>
    <row r="28" spans="1:16" hidden="1" x14ac:dyDescent="0.35">
      <c r="A28" s="1" t="s">
        <v>17</v>
      </c>
      <c r="B28" s="5">
        <v>46077</v>
      </c>
      <c r="C28" s="1" t="s">
        <v>42</v>
      </c>
      <c r="D28" s="2">
        <f>3000/150</f>
        <v>20</v>
      </c>
      <c r="E28" s="8">
        <f>1/D28</f>
        <v>0.05</v>
      </c>
      <c r="F28" s="2">
        <v>0.67400000000000004</v>
      </c>
      <c r="G28" s="2">
        <v>0.64700000000000002</v>
      </c>
      <c r="H28" s="2">
        <v>0.65300000000000002</v>
      </c>
      <c r="I28" s="8">
        <f>AVERAGE(F28:H28)</f>
        <v>0.65800000000000003</v>
      </c>
      <c r="J28" s="7">
        <f>_xlfn.VAR.P(F28:H28)</f>
        <v>1.3400000000000025E-4</v>
      </c>
      <c r="K28" s="7">
        <f>SQRT(J28)</f>
        <v>1.1575836902790236E-2</v>
      </c>
      <c r="L28" s="10">
        <f>K28/SQRT(COUNT(F28:H28))</f>
        <v>6.6833125519211471E-3</v>
      </c>
      <c r="M28" s="4">
        <f>'Concentration algale 2026'!Q$7</f>
        <v>158500000</v>
      </c>
      <c r="N28" s="4">
        <f>'Concentration algale 2026'!U$7</f>
        <v>1423187.6063832778</v>
      </c>
      <c r="O28" s="4">
        <f>M28*E28</f>
        <v>7925000</v>
      </c>
      <c r="P28" s="4">
        <f>N28*E28</f>
        <v>71159.380319163887</v>
      </c>
    </row>
    <row r="29" spans="1:16" hidden="1" x14ac:dyDescent="0.35">
      <c r="A29" s="1" t="s">
        <v>17</v>
      </c>
      <c r="B29" s="5">
        <v>46077</v>
      </c>
      <c r="C29" s="1" t="s">
        <v>42</v>
      </c>
      <c r="D29" s="2">
        <f>3000/100</f>
        <v>30</v>
      </c>
      <c r="E29" s="8">
        <f>1/D29</f>
        <v>3.3333333333333333E-2</v>
      </c>
      <c r="F29" s="2">
        <v>0.44900000000000001</v>
      </c>
      <c r="G29" s="2">
        <v>0.437</v>
      </c>
      <c r="H29" s="2">
        <v>0.438</v>
      </c>
      <c r="I29" s="8">
        <f>AVERAGE(F29:H29)</f>
        <v>0.44133333333333336</v>
      </c>
      <c r="J29" s="7">
        <f>_xlfn.VAR.P(F29:H29)</f>
        <v>2.9555555555555607E-5</v>
      </c>
      <c r="K29" s="7">
        <f>SQRT(J29)</f>
        <v>5.4365021434333687E-3</v>
      </c>
      <c r="L29" s="10">
        <f>K29/SQRT(COUNT(F29:H29))</f>
        <v>3.1387659759612332E-3</v>
      </c>
      <c r="M29" s="4">
        <f>'Concentration algale 2026'!Q$7</f>
        <v>158500000</v>
      </c>
      <c r="N29" s="4">
        <f>'Concentration algale 2026'!U$7</f>
        <v>1423187.6063832778</v>
      </c>
      <c r="O29" s="4">
        <f>M29*E29</f>
        <v>5283333.333333333</v>
      </c>
      <c r="P29" s="4">
        <f>N29*E29</f>
        <v>47439.586879442591</v>
      </c>
    </row>
    <row r="30" spans="1:16" hidden="1" x14ac:dyDescent="0.35">
      <c r="A30" s="1" t="s">
        <v>17</v>
      </c>
      <c r="B30" s="5">
        <v>46077</v>
      </c>
      <c r="C30" s="1" t="s">
        <v>42</v>
      </c>
      <c r="D30" s="2">
        <f>3000/50</f>
        <v>60</v>
      </c>
      <c r="E30" s="8">
        <f>1/D30</f>
        <v>1.6666666666666666E-2</v>
      </c>
      <c r="F30" s="2">
        <v>0.23100000000000001</v>
      </c>
      <c r="G30" s="2">
        <v>0.22</v>
      </c>
      <c r="H30" s="2">
        <v>0.219</v>
      </c>
      <c r="I30" s="8">
        <f>AVERAGE(F30:H30)</f>
        <v>0.22333333333333336</v>
      </c>
      <c r="J30" s="7">
        <f>_xlfn.VAR.P(F30:H30)</f>
        <v>2.9555555555555607E-5</v>
      </c>
      <c r="K30" s="7">
        <f>SQRT(J30)</f>
        <v>5.4365021434333687E-3</v>
      </c>
      <c r="L30" s="10">
        <f>K30/SQRT(COUNT(F30:H30))</f>
        <v>3.1387659759612332E-3</v>
      </c>
      <c r="M30" s="4">
        <f>'Concentration algale 2026'!Q$7</f>
        <v>158500000</v>
      </c>
      <c r="N30" s="4">
        <f>'Concentration algale 2026'!U$7</f>
        <v>1423187.6063832778</v>
      </c>
      <c r="O30" s="4">
        <f>M30*E30</f>
        <v>2641666.6666666665</v>
      </c>
      <c r="P30" s="4">
        <f>N30*E30</f>
        <v>23719.793439721296</v>
      </c>
    </row>
    <row r="31" spans="1:16" hidden="1" x14ac:dyDescent="0.35">
      <c r="A31" s="1" t="s">
        <v>17</v>
      </c>
      <c r="B31" s="5">
        <v>46077</v>
      </c>
      <c r="C31" s="1" t="s">
        <v>42</v>
      </c>
      <c r="D31" s="2">
        <f>3000/25</f>
        <v>120</v>
      </c>
      <c r="E31" s="8">
        <f>1/D31</f>
        <v>8.3333333333333332E-3</v>
      </c>
      <c r="F31" s="2">
        <v>0.121</v>
      </c>
      <c r="G31" s="2">
        <v>0.105</v>
      </c>
      <c r="H31" s="2">
        <v>0.111</v>
      </c>
      <c r="I31" s="8">
        <f>AVERAGE(F31:H31)</f>
        <v>0.11233333333333333</v>
      </c>
      <c r="J31" s="7">
        <f>_xlfn.VAR.P(F31:H31)</f>
        <v>4.3555555555555551E-5</v>
      </c>
      <c r="K31" s="7">
        <f>SQRT(J31)</f>
        <v>6.5996632910744436E-3</v>
      </c>
      <c r="L31" s="10">
        <f>K31/SQRT(COUNT(F31:H31))</f>
        <v>3.8103173776627215E-3</v>
      </c>
      <c r="M31" s="4">
        <f>'Concentration algale 2026'!$Q$7</f>
        <v>158500000</v>
      </c>
      <c r="N31" s="4">
        <f>'Concentration algale 2026'!U$7</f>
        <v>1423187.6063832778</v>
      </c>
      <c r="O31" s="4">
        <f>M31*E31</f>
        <v>1320833.3333333333</v>
      </c>
      <c r="P31" s="4">
        <f>N31*E31</f>
        <v>11859.896719860648</v>
      </c>
    </row>
    <row r="32" spans="1:16" x14ac:dyDescent="0.35">
      <c r="A32" s="1" t="s">
        <v>43</v>
      </c>
      <c r="B32" s="11">
        <v>46063</v>
      </c>
      <c r="C32" s="1" t="s">
        <v>41</v>
      </c>
      <c r="D32" s="2">
        <f>3000/100</f>
        <v>30</v>
      </c>
      <c r="E32" s="8">
        <f>1/D32</f>
        <v>3.3333333333333333E-2</v>
      </c>
      <c r="F32" s="2">
        <v>1.105</v>
      </c>
      <c r="G32" s="2">
        <v>1.0209999999999999</v>
      </c>
      <c r="H32" s="2">
        <v>1.0489999999999999</v>
      </c>
      <c r="I32" s="8">
        <f>AVERAGE(F32:H32)</f>
        <v>1.0583333333333333</v>
      </c>
      <c r="J32" s="7">
        <f>_xlfn.VAR.P(F32:H32)</f>
        <v>1.2195555555555577E-3</v>
      </c>
      <c r="K32" s="7">
        <f>SQRT(J32)</f>
        <v>3.4922135609890152E-2</v>
      </c>
      <c r="L32" s="10">
        <f>K32/SQRT(COUNT(F32:H32))</f>
        <v>2.0162304395046696E-2</v>
      </c>
      <c r="M32" s="4">
        <f>'Concentration algale 2026'!Q$2</f>
        <v>855333333.33333337</v>
      </c>
      <c r="N32" s="4">
        <f>'Concentration algale 2026'!U$2</f>
        <v>12301259.596249523</v>
      </c>
      <c r="O32" s="4">
        <f>M32*E32</f>
        <v>28511111.111111112</v>
      </c>
      <c r="P32" s="4">
        <f>N32*E32</f>
        <v>410041.98654165072</v>
      </c>
    </row>
    <row r="33" spans="1:16" x14ac:dyDescent="0.35">
      <c r="A33" s="1" t="s">
        <v>43</v>
      </c>
      <c r="B33" s="11">
        <v>46063</v>
      </c>
      <c r="C33" s="1" t="s">
        <v>41</v>
      </c>
      <c r="D33" s="2">
        <f>3000/75</f>
        <v>40</v>
      </c>
      <c r="E33" s="8">
        <f>1/D33</f>
        <v>2.5000000000000001E-2</v>
      </c>
      <c r="F33" s="2">
        <v>0.82899999999999996</v>
      </c>
      <c r="G33" s="2">
        <v>0.84699999999999998</v>
      </c>
      <c r="H33" s="2">
        <v>0.875</v>
      </c>
      <c r="I33" s="8">
        <f>AVERAGE(F33:H33)</f>
        <v>0.85033333333333339</v>
      </c>
      <c r="J33" s="7">
        <f>_xlfn.VAR.P(F33:H33)</f>
        <v>3.5822222222222288E-4</v>
      </c>
      <c r="K33" s="7">
        <f>SQRT(J33)</f>
        <v>1.8926759422104537E-2</v>
      </c>
      <c r="L33" s="10">
        <f>K33/SQRT(COUNT(F33:H33))</f>
        <v>1.0927369647239341E-2</v>
      </c>
      <c r="M33" s="4">
        <f>'Concentration algale 2026'!Q$2</f>
        <v>855333333.33333337</v>
      </c>
      <c r="N33" s="4">
        <f>'Concentration algale 2026'!U$2</f>
        <v>12301259.596249523</v>
      </c>
      <c r="O33" s="4">
        <f>M33*E33</f>
        <v>21383333.333333336</v>
      </c>
      <c r="P33" s="4">
        <f>N33*E33</f>
        <v>307531.4899062381</v>
      </c>
    </row>
    <row r="34" spans="1:16" x14ac:dyDescent="0.35">
      <c r="A34" s="1" t="s">
        <v>43</v>
      </c>
      <c r="B34" s="11">
        <v>46063</v>
      </c>
      <c r="C34" s="1" t="s">
        <v>41</v>
      </c>
      <c r="D34" s="2">
        <f>3000/50</f>
        <v>60</v>
      </c>
      <c r="E34" s="8">
        <f>1/D34</f>
        <v>1.6666666666666666E-2</v>
      </c>
      <c r="F34" s="2">
        <v>0.60099999999999998</v>
      </c>
      <c r="G34" s="2">
        <v>0.58599999999999997</v>
      </c>
      <c r="H34" s="2">
        <v>0.55400000000000005</v>
      </c>
      <c r="I34" s="8">
        <f>AVERAGE(F34:H34)</f>
        <v>0.58033333333333326</v>
      </c>
      <c r="J34" s="7">
        <f>_xlfn.VAR.P(F34:H34)</f>
        <v>3.8422222222222097E-4</v>
      </c>
      <c r="K34" s="7">
        <f>SQRT(J34)</f>
        <v>1.9601587237318842E-2</v>
      </c>
      <c r="L34" s="10">
        <f>K34/SQRT(COUNT(F34:H34))</f>
        <v>1.1316981668009967E-2</v>
      </c>
      <c r="M34" s="4">
        <f>'Concentration algale 2026'!Q$2</f>
        <v>855333333.33333337</v>
      </c>
      <c r="N34" s="4">
        <f>'Concentration algale 2026'!U$2</f>
        <v>12301259.596249523</v>
      </c>
      <c r="O34" s="4">
        <f>M34*E34</f>
        <v>14255555.555555556</v>
      </c>
      <c r="P34" s="4">
        <f>N34*E34</f>
        <v>205020.99327082536</v>
      </c>
    </row>
    <row r="35" spans="1:16" x14ac:dyDescent="0.35">
      <c r="A35" s="1" t="s">
        <v>43</v>
      </c>
      <c r="B35" s="11">
        <v>46063</v>
      </c>
      <c r="C35" s="1" t="s">
        <v>41</v>
      </c>
      <c r="D35" s="2">
        <f>3000/37.5</f>
        <v>80</v>
      </c>
      <c r="E35" s="8">
        <f>1/D35</f>
        <v>1.2500000000000001E-2</v>
      </c>
      <c r="F35" s="2">
        <v>0.45200000000000001</v>
      </c>
      <c r="G35" s="2">
        <v>0.41599999999999998</v>
      </c>
      <c r="H35" s="2">
        <v>0.432</v>
      </c>
      <c r="I35" s="8">
        <f>AVERAGE(F35:H35)</f>
        <v>0.43333333333333335</v>
      </c>
      <c r="J35" s="7">
        <f>_xlfn.VAR.P(F35:H35)</f>
        <v>2.1688888888888929E-4</v>
      </c>
      <c r="K35" s="7">
        <f>SQRT(J35)</f>
        <v>1.4727148022916362E-2</v>
      </c>
      <c r="L35" s="10">
        <f>K35/SQRT(COUNT(F35:H35))</f>
        <v>8.5027228754262271E-3</v>
      </c>
      <c r="M35" s="4">
        <f>'Concentration algale 2026'!Q$2</f>
        <v>855333333.33333337</v>
      </c>
      <c r="N35" s="4">
        <f>'Concentration algale 2026'!U$2</f>
        <v>12301259.596249523</v>
      </c>
      <c r="O35" s="4">
        <f>M35*E35</f>
        <v>10691666.666666668</v>
      </c>
      <c r="P35" s="4">
        <f>N35*E35</f>
        <v>153765.74495311905</v>
      </c>
    </row>
    <row r="36" spans="1:16" x14ac:dyDescent="0.35">
      <c r="A36" s="1" t="s">
        <v>43</v>
      </c>
      <c r="B36" s="11">
        <v>46063</v>
      </c>
      <c r="C36" s="1" t="s">
        <v>41</v>
      </c>
      <c r="D36" s="2">
        <f>3000/25</f>
        <v>120</v>
      </c>
      <c r="E36" s="8">
        <f>1/D36</f>
        <v>8.3333333333333332E-3</v>
      </c>
      <c r="F36" s="2">
        <v>0.313</v>
      </c>
      <c r="G36" s="2">
        <v>0.30499999999999999</v>
      </c>
      <c r="H36" s="2">
        <v>0.32</v>
      </c>
      <c r="I36" s="8">
        <f>AVERAGE(F36:H36)</f>
        <v>0.31266666666666665</v>
      </c>
      <c r="J36" s="7">
        <f>_xlfn.VAR.P(F36:H36)</f>
        <v>3.7555555555555622E-5</v>
      </c>
      <c r="K36" s="7">
        <f>SQRT(J36)</f>
        <v>6.1282587702834171E-3</v>
      </c>
      <c r="L36" s="10">
        <f>K36/SQRT(COUNT(F36:H36))</f>
        <v>3.5381518506868159E-3</v>
      </c>
      <c r="M36" s="4">
        <f>'Concentration algale 2026'!Q$2</f>
        <v>855333333.33333337</v>
      </c>
      <c r="N36" s="4">
        <f>'Concentration algale 2026'!U$2</f>
        <v>12301259.596249523</v>
      </c>
      <c r="O36" s="4">
        <f>M36*E36</f>
        <v>7127777.777777778</v>
      </c>
      <c r="P36" s="4">
        <f>N36*E36</f>
        <v>102510.49663541268</v>
      </c>
    </row>
    <row r="37" spans="1:16" x14ac:dyDescent="0.35">
      <c r="A37" s="1" t="s">
        <v>43</v>
      </c>
      <c r="B37" s="11">
        <v>46063</v>
      </c>
      <c r="C37" s="1" t="s">
        <v>41</v>
      </c>
      <c r="D37" s="2">
        <f>3000/17.5</f>
        <v>171.42857142857142</v>
      </c>
      <c r="E37" s="8">
        <f>1/D37</f>
        <v>5.8333333333333336E-3</v>
      </c>
      <c r="F37" s="2">
        <v>0.2</v>
      </c>
      <c r="G37" s="2">
        <v>0.20300000000000001</v>
      </c>
      <c r="H37" s="2">
        <v>0.22</v>
      </c>
      <c r="I37" s="8">
        <f>AVERAGE(F37:H37)</f>
        <v>0.20766666666666667</v>
      </c>
      <c r="J37" s="7">
        <f>_xlfn.VAR.P(F37:H37)</f>
        <v>7.755555555555547E-5</v>
      </c>
      <c r="K37" s="7">
        <f>SQRT(J37)</f>
        <v>8.8065632090819322E-3</v>
      </c>
      <c r="L37" s="10">
        <f>K37/SQRT(COUNT(F37:H37))</f>
        <v>5.0844716393989081E-3</v>
      </c>
      <c r="M37" s="4">
        <f>'Concentration algale 2026'!Q$2</f>
        <v>855333333.33333337</v>
      </c>
      <c r="N37" s="4">
        <f>'Concentration algale 2026'!U$2</f>
        <v>12301259.596249523</v>
      </c>
      <c r="O37" s="4">
        <f>M37*E37</f>
        <v>4989444.444444445</v>
      </c>
      <c r="P37" s="4">
        <f>N37*E37</f>
        <v>71757.347644788882</v>
      </c>
    </row>
    <row r="38" spans="1:16" x14ac:dyDescent="0.35">
      <c r="A38" s="1" t="s">
        <v>43</v>
      </c>
      <c r="B38" s="11">
        <v>46063</v>
      </c>
      <c r="C38" s="1" t="s">
        <v>41</v>
      </c>
      <c r="D38" s="2">
        <f>3000/10</f>
        <v>300</v>
      </c>
      <c r="E38" s="8">
        <f>1/D38</f>
        <v>3.3333333333333335E-3</v>
      </c>
      <c r="F38" s="2">
        <v>0.152</v>
      </c>
      <c r="G38" s="2">
        <v>0.13600000000000001</v>
      </c>
      <c r="H38" s="2">
        <v>0.12</v>
      </c>
      <c r="I38" s="8">
        <f>AVERAGE(F38:H38)</f>
        <v>0.13600000000000001</v>
      </c>
      <c r="J38" s="7">
        <f>_xlfn.VAR.P(F38:H38)</f>
        <v>1.706666666666667E-4</v>
      </c>
      <c r="K38" s="7">
        <f>SQRT(J38)</f>
        <v>1.3063945294843619E-2</v>
      </c>
      <c r="L38" s="10">
        <f>K38/SQRT(COUNT(F38:H38))</f>
        <v>7.5424723326565088E-3</v>
      </c>
      <c r="M38" s="4">
        <f>'Concentration algale 2026'!Q$2</f>
        <v>855333333.33333337</v>
      </c>
      <c r="N38" s="4">
        <f>'Concentration algale 2026'!U$2</f>
        <v>12301259.596249523</v>
      </c>
      <c r="O38" s="4">
        <f>M38*E38</f>
        <v>2851111.1111111115</v>
      </c>
      <c r="P38" s="4">
        <f>N38*E38</f>
        <v>41004.198654165077</v>
      </c>
    </row>
    <row r="39" spans="1:16" x14ac:dyDescent="0.35">
      <c r="A39" s="1" t="s">
        <v>43</v>
      </c>
      <c r="B39" s="11">
        <v>46063</v>
      </c>
      <c r="C39" s="1" t="s">
        <v>41</v>
      </c>
      <c r="D39" s="2">
        <f>3000/5</f>
        <v>600</v>
      </c>
      <c r="E39" s="8">
        <f>1/D39</f>
        <v>1.6666666666666668E-3</v>
      </c>
      <c r="F39" s="2">
        <v>7.0000000000000007E-2</v>
      </c>
      <c r="G39" s="2">
        <v>4.5999999999999999E-2</v>
      </c>
      <c r="H39" s="2">
        <v>5.3999999999999999E-2</v>
      </c>
      <c r="I39" s="8">
        <f>AVERAGE(F39:H39)</f>
        <v>5.6666666666666671E-2</v>
      </c>
      <c r="J39" s="7">
        <f>_xlfn.VAR.P(F39:H39)</f>
        <v>9.9555555555554893E-5</v>
      </c>
      <c r="K39" s="7">
        <f>SQRT(J39)</f>
        <v>9.9777530313971442E-3</v>
      </c>
      <c r="L39" s="10">
        <f>K39/SQRT(COUNT(F39:H39))</f>
        <v>5.760658398584746E-3</v>
      </c>
      <c r="M39" s="4">
        <f>'Concentration algale 2026'!Q$2</f>
        <v>855333333.33333337</v>
      </c>
      <c r="N39" s="4">
        <f>'Concentration algale 2026'!U$2</f>
        <v>12301259.596249523</v>
      </c>
      <c r="O39" s="4">
        <f>M39*E39</f>
        <v>1425555.5555555557</v>
      </c>
      <c r="P39" s="4">
        <f>N39*E39</f>
        <v>20502.099327082538</v>
      </c>
    </row>
    <row r="40" spans="1:16" x14ac:dyDescent="0.35">
      <c r="A40" s="1" t="s">
        <v>44</v>
      </c>
      <c r="B40" s="5">
        <v>46063</v>
      </c>
      <c r="C40" s="1" t="s">
        <v>42</v>
      </c>
      <c r="D40" s="2">
        <f>3000/300</f>
        <v>10</v>
      </c>
      <c r="E40" s="8">
        <f>1/D40</f>
        <v>0.1</v>
      </c>
      <c r="F40" s="2">
        <v>1.3919999999999999</v>
      </c>
      <c r="G40" s="2">
        <v>1.3819999999999999</v>
      </c>
      <c r="H40" s="2">
        <v>1.3340000000000001</v>
      </c>
      <c r="I40" s="8">
        <f>AVERAGE(F40:H40)</f>
        <v>1.3693333333333335</v>
      </c>
      <c r="J40" s="7">
        <f>_xlfn.VAR.P(F40:H40)</f>
        <v>6.4088888888888485E-4</v>
      </c>
      <c r="K40" s="7">
        <f>SQRT(J40)</f>
        <v>2.5315783394729955E-2</v>
      </c>
      <c r="L40" s="10">
        <f>K40/SQRT(COUNT(F40:H40))</f>
        <v>1.4616074357693598E-2</v>
      </c>
      <c r="M40" s="4">
        <f>'Concentration algale 2026'!Q$3</f>
        <v>196833333.33333334</v>
      </c>
      <c r="N40" s="4">
        <f>'Concentration algale 2026'!U$3</f>
        <v>1801276.9818748308</v>
      </c>
      <c r="O40" s="4">
        <f>M40*E40</f>
        <v>19683333.333333336</v>
      </c>
      <c r="P40" s="4">
        <f>N40*E40</f>
        <v>180127.6981874831</v>
      </c>
    </row>
    <row r="41" spans="1:16" x14ac:dyDescent="0.35">
      <c r="A41" s="1" t="s">
        <v>44</v>
      </c>
      <c r="B41" s="5">
        <v>46063</v>
      </c>
      <c r="C41" s="1" t="s">
        <v>42</v>
      </c>
      <c r="D41" s="2">
        <f>3000/250</f>
        <v>12</v>
      </c>
      <c r="E41" s="8">
        <f>1/D41</f>
        <v>8.3333333333333329E-2</v>
      </c>
      <c r="F41" s="2">
        <v>1.196</v>
      </c>
      <c r="G41" s="2">
        <v>1.1890000000000001</v>
      </c>
      <c r="H41" s="2">
        <v>1.1970000000000001</v>
      </c>
      <c r="I41" s="8">
        <f>AVERAGE(F41:H41)</f>
        <v>1.194</v>
      </c>
      <c r="J41" s="7">
        <f>_xlfn.VAR.P(F41:H41)</f>
        <v>1.2666666666666541E-5</v>
      </c>
      <c r="K41" s="7">
        <f>SQRT(J41)</f>
        <v>3.5590260840104196E-3</v>
      </c>
      <c r="L41" s="10">
        <f>K41/SQRT(COUNT(F41:H41))</f>
        <v>2.0548046676563156E-3</v>
      </c>
      <c r="M41" s="4">
        <f>'Concentration algale 2026'!Q$3</f>
        <v>196833333.33333334</v>
      </c>
      <c r="N41" s="4">
        <f>'Concentration algale 2026'!U$3</f>
        <v>1801276.9818748308</v>
      </c>
      <c r="O41" s="4">
        <f>M41*E41</f>
        <v>16402777.777777778</v>
      </c>
      <c r="P41" s="4">
        <f>N41*E41</f>
        <v>150106.41515623589</v>
      </c>
    </row>
    <row r="42" spans="1:16" x14ac:dyDescent="0.35">
      <c r="A42" s="1" t="s">
        <v>44</v>
      </c>
      <c r="B42" s="5">
        <v>46063</v>
      </c>
      <c r="C42" s="1" t="s">
        <v>42</v>
      </c>
      <c r="D42" s="2">
        <f>3000/200</f>
        <v>15</v>
      </c>
      <c r="E42" s="8">
        <f>1/D42</f>
        <v>6.6666666666666666E-2</v>
      </c>
      <c r="F42" s="2">
        <v>0.97599999999999998</v>
      </c>
      <c r="G42" s="2">
        <v>0.96199999999999997</v>
      </c>
      <c r="H42" s="2">
        <v>1.0089999999999999</v>
      </c>
      <c r="I42" s="8">
        <f>AVERAGE(F42:H42)</f>
        <v>0.98233333333333339</v>
      </c>
      <c r="J42" s="7">
        <f>_xlfn.VAR.P(F42:H42)</f>
        <v>3.8822222222222096E-4</v>
      </c>
      <c r="K42" s="7">
        <f>SQRT(J42)</f>
        <v>1.9703355608175502E-2</v>
      </c>
      <c r="L42" s="10">
        <f>K42/SQRT(COUNT(F42:H42))</f>
        <v>1.137573766431905E-2</v>
      </c>
      <c r="M42" s="4">
        <f>'Concentration algale 2026'!Q$3</f>
        <v>196833333.33333334</v>
      </c>
      <c r="N42" s="4">
        <f>'Concentration algale 2026'!U$3</f>
        <v>1801276.9818748308</v>
      </c>
      <c r="O42" s="4">
        <f>M42*E42</f>
        <v>13122222.222222222</v>
      </c>
      <c r="P42" s="4">
        <f>N42*E42</f>
        <v>120085.13212498871</v>
      </c>
    </row>
    <row r="43" spans="1:16" x14ac:dyDescent="0.35">
      <c r="A43" s="1" t="s">
        <v>44</v>
      </c>
      <c r="B43" s="5">
        <v>46063</v>
      </c>
      <c r="C43" s="1" t="s">
        <v>42</v>
      </c>
      <c r="D43" s="2">
        <f>3000/150</f>
        <v>20</v>
      </c>
      <c r="E43" s="8">
        <f>1/D43</f>
        <v>0.05</v>
      </c>
      <c r="F43" s="2">
        <v>0.751</v>
      </c>
      <c r="G43" s="2">
        <v>0.748</v>
      </c>
      <c r="H43" s="2">
        <v>0.76200000000000001</v>
      </c>
      <c r="I43" s="8">
        <f>AVERAGE(F43:H43)</f>
        <v>0.75366666666666671</v>
      </c>
      <c r="J43" s="7">
        <f>_xlfn.VAR.P(F43:H43)</f>
        <v>3.6222222222222286E-5</v>
      </c>
      <c r="K43" s="7">
        <f>SQRT(J43)</f>
        <v>6.0184900284226015E-3</v>
      </c>
      <c r="L43" s="10">
        <f>K43/SQRT(COUNT(F43:H43))</f>
        <v>3.4747768380248675E-3</v>
      </c>
      <c r="M43" s="4">
        <f>'Concentration algale 2026'!Q$3</f>
        <v>196833333.33333334</v>
      </c>
      <c r="N43" s="4">
        <f>'Concentration algale 2026'!U$3</f>
        <v>1801276.9818748308</v>
      </c>
      <c r="O43" s="4">
        <f>M43*E43</f>
        <v>9841666.6666666679</v>
      </c>
      <c r="P43" s="4">
        <f>N43*E43</f>
        <v>90063.849093741548</v>
      </c>
    </row>
    <row r="44" spans="1:16" x14ac:dyDescent="0.35">
      <c r="A44" s="1" t="s">
        <v>44</v>
      </c>
      <c r="B44" s="5">
        <v>46063</v>
      </c>
      <c r="C44" s="1" t="s">
        <v>42</v>
      </c>
      <c r="D44" s="2">
        <f>3000/100</f>
        <v>30</v>
      </c>
      <c r="E44" s="8">
        <f>1/D44</f>
        <v>3.3333333333333333E-2</v>
      </c>
      <c r="F44" s="2">
        <v>0.502</v>
      </c>
      <c r="G44" s="2">
        <v>0.54700000000000004</v>
      </c>
      <c r="H44" s="2">
        <v>0.51200000000000001</v>
      </c>
      <c r="I44" s="8">
        <f>AVERAGE(F44:H44)</f>
        <v>0.52033333333333331</v>
      </c>
      <c r="J44" s="7">
        <f>_xlfn.VAR.P(F44:H44)</f>
        <v>3.7222222222222295E-4</v>
      </c>
      <c r="K44" s="7">
        <f>SQRT(J44)</f>
        <v>1.9293061504650395E-2</v>
      </c>
      <c r="L44" s="10">
        <f>K44/SQRT(COUNT(F44:H44))</f>
        <v>1.1138854253201913E-2</v>
      </c>
      <c r="M44" s="4">
        <f>'Concentration algale 2026'!Q$3</f>
        <v>196833333.33333334</v>
      </c>
      <c r="N44" s="4">
        <f>'Concentration algale 2026'!U$3</f>
        <v>1801276.9818748308</v>
      </c>
      <c r="O44" s="4">
        <f>M44*E44</f>
        <v>6561111.111111111</v>
      </c>
      <c r="P44" s="4">
        <f>N44*E44</f>
        <v>60042.566062494356</v>
      </c>
    </row>
    <row r="45" spans="1:16" x14ac:dyDescent="0.35">
      <c r="A45" s="1" t="s">
        <v>44</v>
      </c>
      <c r="B45" s="5">
        <v>46063</v>
      </c>
      <c r="C45" s="1" t="s">
        <v>42</v>
      </c>
      <c r="D45" s="2">
        <f>3000/50</f>
        <v>60</v>
      </c>
      <c r="E45" s="8">
        <f>1/D45</f>
        <v>1.6666666666666666E-2</v>
      </c>
      <c r="F45" s="2">
        <v>0.25900000000000001</v>
      </c>
      <c r="G45" s="2">
        <v>0.27900000000000003</v>
      </c>
      <c r="H45" s="2">
        <v>0.26700000000000002</v>
      </c>
      <c r="I45" s="8">
        <f>AVERAGE(F45:H45)</f>
        <v>0.26833333333333337</v>
      </c>
      <c r="J45" s="7">
        <f>_xlfn.VAR.P(F45:H45)</f>
        <v>6.7555555555555674E-5</v>
      </c>
      <c r="K45" s="7">
        <f>SQRT(J45)</f>
        <v>8.2192186706253091E-3</v>
      </c>
      <c r="L45" s="10">
        <f>K45/SQRT(COUNT(F45:H45))</f>
        <v>4.7453681120139205E-3</v>
      </c>
      <c r="M45" s="4">
        <f>'Concentration algale 2026'!Q$3</f>
        <v>196833333.33333334</v>
      </c>
      <c r="N45" s="4">
        <f>'Concentration algale 2026'!U$3</f>
        <v>1801276.9818748308</v>
      </c>
      <c r="O45" s="4">
        <f>M45*E45</f>
        <v>3280555.5555555555</v>
      </c>
      <c r="P45" s="4">
        <f>N45*E45</f>
        <v>30021.283031247178</v>
      </c>
    </row>
    <row r="46" spans="1:16" x14ac:dyDescent="0.35">
      <c r="A46" s="1" t="s">
        <v>44</v>
      </c>
      <c r="B46" s="5">
        <v>46063</v>
      </c>
      <c r="C46" s="1" t="s">
        <v>42</v>
      </c>
      <c r="D46" s="2">
        <f>3000/25</f>
        <v>120</v>
      </c>
      <c r="E46" s="8">
        <f>1/D46</f>
        <v>8.3333333333333332E-3</v>
      </c>
      <c r="F46" s="2">
        <v>0.189</v>
      </c>
      <c r="G46" s="2">
        <v>0.13200000000000001</v>
      </c>
      <c r="H46" s="2">
        <v>0.152</v>
      </c>
      <c r="I46" s="8">
        <f>AVERAGE(F46:H46)</f>
        <v>0.15766666666666665</v>
      </c>
      <c r="J46" s="7">
        <f>_xlfn.VAR.P(F46:H46)</f>
        <v>5.5755555555556113E-4</v>
      </c>
      <c r="K46" s="7">
        <f>SQRT(J46)</f>
        <v>2.3612614331233236E-2</v>
      </c>
      <c r="L46" s="10">
        <f>K46/SQRT(COUNT(F46:H46))</f>
        <v>1.3632749240408325E-2</v>
      </c>
      <c r="M46" s="4">
        <f>'Concentration algale 2026'!Q$3</f>
        <v>196833333.33333334</v>
      </c>
      <c r="N46" s="4">
        <f>'Concentration algale 2026'!U$3</f>
        <v>1801276.9818748308</v>
      </c>
      <c r="O46" s="4">
        <f>M46*E46</f>
        <v>1640277.7777777778</v>
      </c>
      <c r="P46" s="4">
        <f>N46*E46</f>
        <v>15010.641515623589</v>
      </c>
    </row>
  </sheetData>
  <autoFilter ref="A1:P45" xr:uid="{672B652C-8116-4A69-B528-7DFBB3E36C30}">
    <filterColumn colId="0">
      <filters>
        <filter val="Chlorella sol 10/02/2026"/>
        <filter val="Chlorella sol 17/02/2026"/>
        <filter val="Chlorella sol 24/02/2026"/>
        <filter val="Pita sol 10/02/2026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Concentration algale 2026</vt:lpstr>
      <vt:lpstr>Absorbance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Local</dc:creator>
  <cp:lastModifiedBy>Antoine Tourret</cp:lastModifiedBy>
  <dcterms:created xsi:type="dcterms:W3CDTF">2026-02-24T17:36:11Z</dcterms:created>
  <dcterms:modified xsi:type="dcterms:W3CDTF">2026-02-26T15:34:20Z</dcterms:modified>
</cp:coreProperties>
</file>